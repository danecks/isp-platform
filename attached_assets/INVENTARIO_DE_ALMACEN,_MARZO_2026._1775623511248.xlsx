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6c8ca622c02266/Escritorio/"/>
    </mc:Choice>
  </mc:AlternateContent>
  <xr:revisionPtr revIDLastSave="867" documentId="8_{C513556A-7C49-47FC-8FFB-CE1B68C5E30A}" xr6:coauthVersionLast="47" xr6:coauthVersionMax="47" xr10:uidLastSave="{FA8329B1-552A-4E66-87A5-4F940D3D0A00}"/>
  <bookViews>
    <workbookView xWindow="-120" yWindow="-120" windowWidth="20730" windowHeight="11040" firstSheet="1" activeTab="2" xr2:uid="{0ED32C58-86B9-4749-BEF6-47A7A61CE1F7}"/>
  </bookViews>
  <sheets>
    <sheet name="PANTALON Y CAMISA AZUL M-C" sheetId="1" r:id="rId1"/>
    <sheet name="UNI AZUL CON LINEA ROJA M-C" sheetId="7" r:id="rId2"/>
    <sheet name="UNIFORME BLANCO GALA SIN REFLEC" sheetId="4" r:id="rId3"/>
    <sheet name="UNIFORME BLANCO CON REFLECTIVO" sheetId="5" r:id="rId4"/>
    <sheet name="CSMISAS PARA PERSONAL ADMINISTR" sheetId="12" r:id="rId5"/>
    <sheet name="OTROS UNIFO DE SUPERVISOR" sheetId="8" r:id="rId6"/>
    <sheet name="CHALECOS VARIOS" sheetId="6" r:id="rId7"/>
    <sheet name="BOTAS" sheetId="2" r:id="rId8"/>
    <sheet name="GORRAS, CASCO Y VARIOS" sheetId="3" r:id="rId9"/>
    <sheet name="VARIOS" sheetId="9" r:id="rId10"/>
    <sheet name="INGRESO DE EQUIPO NUEVO" sheetId="10" r:id="rId11"/>
    <sheet name="Hoja3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7" i="2"/>
  <c r="D6" i="2"/>
  <c r="D5" i="2"/>
  <c r="D4" i="2"/>
  <c r="D3" i="2"/>
  <c r="E10" i="12"/>
  <c r="D55" i="9" l="1"/>
  <c r="D48" i="9"/>
  <c r="D15" i="3"/>
  <c r="D21" i="2"/>
  <c r="D10" i="2" l="1"/>
</calcChain>
</file>

<file path=xl/sharedStrings.xml><?xml version="1.0" encoding="utf-8"?>
<sst xmlns="http://schemas.openxmlformats.org/spreadsheetml/2006/main" count="442" uniqueCount="125">
  <si>
    <t>No</t>
  </si>
  <si>
    <t>CANTIDAD EXISTENTE EN BODEGA</t>
  </si>
  <si>
    <t xml:space="preserve">RETIROS </t>
  </si>
  <si>
    <t>DESCRIPCIÓN DEL INSUMO</t>
  </si>
  <si>
    <t>S</t>
  </si>
  <si>
    <t>M</t>
  </si>
  <si>
    <t>L</t>
  </si>
  <si>
    <t>XL</t>
  </si>
  <si>
    <t>XXL</t>
  </si>
  <si>
    <t>XXXL</t>
  </si>
  <si>
    <t>TALLA EN LETRA</t>
  </si>
  <si>
    <t>TALLA EN NÚMERO</t>
  </si>
  <si>
    <t>Uniforme azul con linea roja nuevo</t>
  </si>
  <si>
    <t>Para: Ingrup, Platihogar, ofinas de iglesia de zona 15 y Nipro de zona 9</t>
  </si>
  <si>
    <t>Uniforme blanco gala manga larga con corbata nuevo</t>
  </si>
  <si>
    <t>Gratis solo para: Ingrup 3 al año y la iglecia 2 al año.</t>
  </si>
  <si>
    <t>Uniforme blanco con relfetivo manga corta nuevo</t>
  </si>
  <si>
    <t>Para: Cervesur, Kenaf y Gallo la vas garita 2 veces al año</t>
  </si>
  <si>
    <t>Gratis: solo para la Gallo 2 por año.</t>
  </si>
  <si>
    <t xml:space="preserve">TALLA </t>
  </si>
  <si>
    <t>Unica</t>
  </si>
  <si>
    <t>Chaleco negro " ISP"  nuevo.</t>
  </si>
  <si>
    <t>Chalecos verde reflectivos</t>
  </si>
  <si>
    <t>Chalecos color naranja refletivos nuevos</t>
  </si>
  <si>
    <t>Chalecos color naranja refletivos usados</t>
  </si>
  <si>
    <t>Pantalón color; azul con linea roja usado</t>
  </si>
  <si>
    <t>Camisa color azul manga corta usada</t>
  </si>
  <si>
    <t>Pantalón color; azul con linea roja nuevo</t>
  </si>
  <si>
    <t>XXXXL</t>
  </si>
  <si>
    <t>Camisa blanca gala manga larga con corbata usado</t>
  </si>
  <si>
    <t>Camisa blanca con relfetivo manga corta usado</t>
  </si>
  <si>
    <t>Uniforme para supervisor color gris nuevo</t>
  </si>
  <si>
    <t>Bota militar de color negro nuevas</t>
  </si>
  <si>
    <t>TOTAL</t>
  </si>
  <si>
    <t>Bota de hule de invierno par nuevas</t>
  </si>
  <si>
    <t>Gorra de color azul nueva con logo</t>
  </si>
  <si>
    <t xml:space="preserve">Casco plastico colores varios </t>
  </si>
  <si>
    <t>Batones de madera usados</t>
  </si>
  <si>
    <t>Medino</t>
  </si>
  <si>
    <t xml:space="preserve">Linterna </t>
  </si>
  <si>
    <t>UNIDAD DE MEDIDA</t>
  </si>
  <si>
    <t>Unidad</t>
  </si>
  <si>
    <t>Cinturones para revolver 38 nuevos</t>
  </si>
  <si>
    <t>Cinturones para revolver 38 usados</t>
  </si>
  <si>
    <t>Capas de invierno de color negro</t>
  </si>
  <si>
    <t>Kebla tipo gota para chaleco</t>
  </si>
  <si>
    <t>Kebla tipo gabacha para chaleco</t>
  </si>
  <si>
    <t>Paraguas de color negro</t>
  </si>
  <si>
    <t>Casco de color; negro para motorista nuevo</t>
  </si>
  <si>
    <t>Porta fusil</t>
  </si>
  <si>
    <t>Garrett</t>
  </si>
  <si>
    <t xml:space="preserve">Gorgoritos </t>
  </si>
  <si>
    <t>Lapices marcador de fichas</t>
  </si>
  <si>
    <t>Cinchos de color; blanco</t>
  </si>
  <si>
    <t>Estufas portatiles con cilindro de gas butano</t>
  </si>
  <si>
    <t>Estufa electrica</t>
  </si>
  <si>
    <t>Triangulos de hule pequeños de color; naranja</t>
  </si>
  <si>
    <t xml:space="preserve">REPUESTOS PARA MOTOS Y VEHÍCULOS </t>
  </si>
  <si>
    <t>Manecilla para freno de moto</t>
  </si>
  <si>
    <t>Closh para moto</t>
  </si>
  <si>
    <t>Paquete de discos para caja de moto</t>
  </si>
  <si>
    <t>Paquete de rayos para aro de moto</t>
  </si>
  <si>
    <t>Cadena para moticicleta usada</t>
  </si>
  <si>
    <t>Block cilindrico con piston para moto nuevo</t>
  </si>
  <si>
    <t>Filtros de aire para mto</t>
  </si>
  <si>
    <t>Tubos para llanta de moto para llanta</t>
  </si>
  <si>
    <t>Guardapolvo para amartiguador de moto</t>
  </si>
  <si>
    <t>Cojinetes para moto tamaño varios</t>
  </si>
  <si>
    <t>PRECIO</t>
  </si>
  <si>
    <t>Aceiete 20W-50 para moto</t>
  </si>
  <si>
    <t>Litro</t>
  </si>
  <si>
    <t>Bombillos varios de casa, largos</t>
  </si>
  <si>
    <t>Bombillas ahorradoras</t>
  </si>
  <si>
    <t>Bombillos para vehículo H4</t>
  </si>
  <si>
    <t>DIFERENTES ACCESORIOS ELECTRICOS Y MÁS</t>
  </si>
  <si>
    <t>Barreno mediano</t>
  </si>
  <si>
    <t xml:space="preserve">Identificador de buellas </t>
  </si>
  <si>
    <t>Chapa cuadrada para puerta de casa nueva</t>
  </si>
  <si>
    <t>Chapa redonda para puerta de casa</t>
  </si>
  <si>
    <t>Plafomeras para bombillas de casa</t>
  </si>
  <si>
    <t>Lamparas led retangular</t>
  </si>
  <si>
    <t xml:space="preserve">Bandeja de llaves </t>
  </si>
  <si>
    <t>Bomba atomizadora</t>
  </si>
  <si>
    <t>ACCESORIOS VARIOS EN MAL ESTADO</t>
  </si>
  <si>
    <t>Microfonos para cabina de vehículo</t>
  </si>
  <si>
    <t>Camara de grabación  aparentemente en buen estado</t>
  </si>
  <si>
    <t>Ojo de buey mediano</t>
  </si>
  <si>
    <t>Ojo de buey grande</t>
  </si>
  <si>
    <t>Ca,ara de grabación en mal estado</t>
  </si>
  <si>
    <t>Candela para motor de moto</t>
  </si>
  <si>
    <t>Telefonos de planta color negro</t>
  </si>
  <si>
    <t>Chalecos en mal escado</t>
  </si>
  <si>
    <t>Cubrecama de color tipico para catre</t>
  </si>
  <si>
    <t>Poncho de lana para cama imperial de color oscuro</t>
  </si>
  <si>
    <t>Chaleco con escudo de color; dorado</t>
  </si>
  <si>
    <t>Chalecos color; negro sin blindaje color negro nuevos</t>
  </si>
  <si>
    <t>Chalecos sin blindaje color; negro usados</t>
  </si>
  <si>
    <t>Chalecos con blindaje color; negro usados</t>
  </si>
  <si>
    <t>Capas de invierno de color naranja</t>
  </si>
  <si>
    <t>Gorra de color; blanco para banco "KEPIS"</t>
  </si>
  <si>
    <t>Rdio telecomunicador "nuevos"</t>
  </si>
  <si>
    <t>Radio telecomunicador "mal estado"</t>
  </si>
  <si>
    <t>Mediano</t>
  </si>
  <si>
    <t>Batones de madera le falta un pedazo</t>
  </si>
  <si>
    <t>Defensive flashligiht sin cable para cargar algunos</t>
  </si>
  <si>
    <t>Cinturones con porta tolva para 9ml</t>
  </si>
  <si>
    <t>Ojo de buey pequeño</t>
  </si>
  <si>
    <t>Bandeja de llaves de candados o puertas de casa</t>
  </si>
  <si>
    <t>Camisa de color celeste manga corta nueva</t>
  </si>
  <si>
    <t>Camisa de color negro manga corta nueva</t>
  </si>
  <si>
    <t>Camisa de color blanco manga corta nueva</t>
  </si>
  <si>
    <t>Cinturón para escopeta 12</t>
  </si>
  <si>
    <t>Traje de color; oscuro pantalon y saco</t>
  </si>
  <si>
    <t>Computadora portatil laptop " DELL"</t>
  </si>
  <si>
    <t>Dispensador para agua fría y caliente</t>
  </si>
  <si>
    <t>Microondas</t>
  </si>
  <si>
    <t>PRENDAS DE LAVANDERIA</t>
  </si>
  <si>
    <t>5+F16:F23</t>
  </si>
  <si>
    <t>Pantalón color; azul con reflectivo</t>
  </si>
  <si>
    <t>NUEVO INGRESO 26/03/2026</t>
  </si>
  <si>
    <t>CANTIDAD INVENTARIADA  EL 18/03/2026.</t>
  </si>
  <si>
    <t>SUMA DE SALDO Y NUEVOS INGRESOS</t>
  </si>
  <si>
    <t xml:space="preserve"> </t>
  </si>
  <si>
    <t>Linterna de mano</t>
  </si>
  <si>
    <t>Porta tolva plasticas para pistola 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</si>
</sst>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Q&quot;#,##0.00"/>
  </numFmts>
  <fonts count="11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14"/>
      <color rgb="FFEAEAEA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206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2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9" borderId="2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wrapText="1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1" fillId="0" borderId="0" xfId="0" applyFont="1"/>
    <xf numFmtId="0" fontId="3" fillId="7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CF2A-78EE-427B-9706-37DB44AAB5B5}">
  <sheetPr>
    <tabColor rgb="FF002060"/>
  </sheetPr>
  <dimension ref="A3:L36"/>
  <sheetViews>
    <sheetView topLeftCell="A15" workbookViewId="0">
      <selection activeCell="I17" sqref="I17"/>
    </sheetView>
  </sheetViews>
  <sheetFormatPr baseColWidth="10" defaultRowHeight="15" x14ac:dyDescent="0.25"/>
  <cols>
    <col min="1" max="1" width="4" customWidth="1"/>
    <col min="2" max="2" width="40.42578125" customWidth="1"/>
    <col min="3" max="3" width="20" customWidth="1"/>
    <col min="4" max="5" width="15.5703125" customWidth="1"/>
    <col min="6" max="6" width="15.85546875" customWidth="1"/>
  </cols>
  <sheetData>
    <row r="3" spans="1:12" ht="15.75" x14ac:dyDescent="0.25">
      <c r="B3" s="12" t="s">
        <v>18</v>
      </c>
    </row>
    <row r="4" spans="1:12" ht="61.5" customHeight="1" x14ac:dyDescent="0.3">
      <c r="A4" s="4" t="s">
        <v>0</v>
      </c>
      <c r="B4" s="4" t="s">
        <v>3</v>
      </c>
      <c r="C4" s="5" t="s">
        <v>10</v>
      </c>
      <c r="D4" s="6" t="s">
        <v>11</v>
      </c>
      <c r="E4" s="7" t="s">
        <v>1</v>
      </c>
      <c r="F4" s="7" t="s">
        <v>116</v>
      </c>
      <c r="G4" s="5" t="s">
        <v>2</v>
      </c>
    </row>
    <row r="5" spans="1:12" ht="20.100000000000001" customHeight="1" x14ac:dyDescent="0.25">
      <c r="A5" s="2">
        <v>1</v>
      </c>
      <c r="B5" s="2" t="s">
        <v>26</v>
      </c>
      <c r="C5" s="3" t="s">
        <v>4</v>
      </c>
      <c r="D5" s="3">
        <v>30</v>
      </c>
      <c r="E5" s="14"/>
      <c r="F5" s="14"/>
      <c r="G5" s="2"/>
    </row>
    <row r="6" spans="1:12" ht="20.100000000000001" customHeight="1" x14ac:dyDescent="0.25">
      <c r="A6" s="2">
        <v>2</v>
      </c>
      <c r="B6" s="2" t="s">
        <v>26</v>
      </c>
      <c r="C6" s="3" t="s">
        <v>5</v>
      </c>
      <c r="D6" s="3">
        <v>32</v>
      </c>
      <c r="E6" s="14"/>
      <c r="F6" s="14"/>
      <c r="G6" s="2"/>
    </row>
    <row r="7" spans="1:12" ht="20.100000000000001" customHeight="1" x14ac:dyDescent="0.25">
      <c r="A7" s="2">
        <v>3</v>
      </c>
      <c r="B7" s="2" t="s">
        <v>26</v>
      </c>
      <c r="C7" s="3" t="s">
        <v>6</v>
      </c>
      <c r="D7" s="3">
        <v>34</v>
      </c>
      <c r="E7" s="14">
        <v>11</v>
      </c>
      <c r="F7" s="14">
        <v>3</v>
      </c>
      <c r="G7" s="2"/>
    </row>
    <row r="8" spans="1:12" ht="20.100000000000001" customHeight="1" x14ac:dyDescent="0.25">
      <c r="A8" s="2">
        <v>4</v>
      </c>
      <c r="B8" s="2" t="s">
        <v>26</v>
      </c>
      <c r="C8" s="3" t="s">
        <v>7</v>
      </c>
      <c r="D8" s="3">
        <v>36</v>
      </c>
      <c r="E8" s="14"/>
      <c r="F8" s="14">
        <v>5</v>
      </c>
      <c r="G8" s="2"/>
    </row>
    <row r="9" spans="1:12" ht="20.100000000000001" customHeight="1" x14ac:dyDescent="0.25">
      <c r="A9" s="2">
        <v>5</v>
      </c>
      <c r="B9" s="2" t="s">
        <v>26</v>
      </c>
      <c r="C9" s="3" t="s">
        <v>8</v>
      </c>
      <c r="D9" s="3">
        <v>38</v>
      </c>
      <c r="E9" s="14">
        <v>20</v>
      </c>
      <c r="F9" s="14"/>
      <c r="G9" s="2"/>
    </row>
    <row r="10" spans="1:12" ht="20.100000000000001" customHeight="1" x14ac:dyDescent="0.25">
      <c r="A10" s="2">
        <v>6</v>
      </c>
      <c r="B10" s="2" t="s">
        <v>26</v>
      </c>
      <c r="C10" s="3" t="s">
        <v>9</v>
      </c>
      <c r="D10" s="3">
        <v>40</v>
      </c>
      <c r="E10" s="14">
        <v>15</v>
      </c>
      <c r="F10" s="14"/>
      <c r="G10" s="2"/>
    </row>
    <row r="11" spans="1:12" ht="20.100000000000001" customHeight="1" x14ac:dyDescent="0.25">
      <c r="A11" s="2">
        <v>7</v>
      </c>
      <c r="B11" s="2" t="s">
        <v>26</v>
      </c>
      <c r="C11" s="3" t="s">
        <v>9</v>
      </c>
      <c r="D11" s="3">
        <v>42</v>
      </c>
      <c r="E11" s="14">
        <v>15</v>
      </c>
      <c r="F11" s="14"/>
      <c r="G11" s="2"/>
    </row>
    <row r="12" spans="1:12" ht="20.100000000000001" customHeight="1" x14ac:dyDescent="0.25">
      <c r="A12" s="2">
        <v>8</v>
      </c>
      <c r="B12" s="2" t="s">
        <v>26</v>
      </c>
      <c r="C12" s="3" t="s">
        <v>9</v>
      </c>
      <c r="D12" s="3">
        <v>44</v>
      </c>
      <c r="E12" s="3"/>
      <c r="F12" s="14"/>
      <c r="G12" s="2"/>
    </row>
    <row r="13" spans="1:12" ht="20.100000000000001" customHeight="1" x14ac:dyDescent="0.25">
      <c r="A13" s="2">
        <v>9</v>
      </c>
      <c r="B13" s="2" t="s">
        <v>26</v>
      </c>
      <c r="C13" s="3" t="s">
        <v>9</v>
      </c>
      <c r="D13" s="3">
        <v>46</v>
      </c>
      <c r="E13" s="3"/>
      <c r="F13" s="14"/>
      <c r="G13" s="2"/>
    </row>
    <row r="14" spans="1:12" ht="15.75" x14ac:dyDescent="0.25">
      <c r="L14" s="47" t="s">
        <v>117</v>
      </c>
    </row>
    <row r="16" spans="1:12" ht="56.25" x14ac:dyDescent="0.3">
      <c r="A16" s="4" t="s">
        <v>0</v>
      </c>
      <c r="B16" s="4" t="s">
        <v>3</v>
      </c>
      <c r="C16" s="5" t="s">
        <v>10</v>
      </c>
      <c r="D16" s="6" t="s">
        <v>11</v>
      </c>
      <c r="E16" s="7" t="s">
        <v>1</v>
      </c>
      <c r="F16" s="7" t="s">
        <v>116</v>
      </c>
      <c r="G16" s="5" t="s">
        <v>2</v>
      </c>
    </row>
    <row r="17" spans="1:7" ht="20.100000000000001" customHeight="1" x14ac:dyDescent="0.25">
      <c r="A17" s="2">
        <v>1</v>
      </c>
      <c r="B17" s="2" t="s">
        <v>25</v>
      </c>
      <c r="C17" s="3" t="s">
        <v>4</v>
      </c>
      <c r="D17" s="3">
        <v>30</v>
      </c>
      <c r="E17" s="14">
        <v>2</v>
      </c>
      <c r="F17" s="14">
        <v>2</v>
      </c>
      <c r="G17" s="2"/>
    </row>
    <row r="18" spans="1:7" ht="20.100000000000001" customHeight="1" x14ac:dyDescent="0.25">
      <c r="A18" s="2">
        <v>2</v>
      </c>
      <c r="B18" s="2" t="s">
        <v>25</v>
      </c>
      <c r="C18" s="3" t="s">
        <v>5</v>
      </c>
      <c r="D18" s="3">
        <v>32</v>
      </c>
      <c r="E18" s="14">
        <v>1</v>
      </c>
      <c r="F18" s="14"/>
      <c r="G18" s="2"/>
    </row>
    <row r="19" spans="1:7" ht="20.100000000000001" customHeight="1" x14ac:dyDescent="0.25">
      <c r="A19" s="2">
        <v>3</v>
      </c>
      <c r="B19" s="2" t="s">
        <v>25</v>
      </c>
      <c r="C19" s="3" t="s">
        <v>6</v>
      </c>
      <c r="D19" s="3">
        <v>34</v>
      </c>
      <c r="E19" s="14">
        <v>9</v>
      </c>
      <c r="F19" s="14"/>
      <c r="G19" s="2"/>
    </row>
    <row r="20" spans="1:7" ht="20.100000000000001" customHeight="1" x14ac:dyDescent="0.25">
      <c r="A20" s="2">
        <v>4</v>
      </c>
      <c r="B20" s="2" t="s">
        <v>25</v>
      </c>
      <c r="C20" s="3" t="s">
        <v>7</v>
      </c>
      <c r="D20" s="3">
        <v>36</v>
      </c>
      <c r="E20" s="14">
        <v>8</v>
      </c>
      <c r="F20" s="14"/>
      <c r="G20" s="2"/>
    </row>
    <row r="21" spans="1:7" ht="20.100000000000001" customHeight="1" x14ac:dyDescent="0.25">
      <c r="A21" s="2">
        <v>5</v>
      </c>
      <c r="B21" s="2" t="s">
        <v>25</v>
      </c>
      <c r="C21" s="3" t="s">
        <v>8</v>
      </c>
      <c r="D21" s="3">
        <v>38</v>
      </c>
      <c r="E21" s="14">
        <v>8</v>
      </c>
      <c r="F21" s="14"/>
      <c r="G21" s="2"/>
    </row>
    <row r="22" spans="1:7" ht="20.100000000000001" customHeight="1" x14ac:dyDescent="0.25">
      <c r="A22" s="2">
        <v>6</v>
      </c>
      <c r="B22" s="2" t="s">
        <v>27</v>
      </c>
      <c r="C22" s="3" t="s">
        <v>9</v>
      </c>
      <c r="D22" s="3">
        <v>40</v>
      </c>
      <c r="E22" s="14">
        <v>1</v>
      </c>
      <c r="F22" s="14"/>
      <c r="G22" s="2"/>
    </row>
    <row r="23" spans="1:7" ht="20.100000000000001" customHeight="1" x14ac:dyDescent="0.25">
      <c r="A23" s="2">
        <v>7</v>
      </c>
      <c r="B23" s="2" t="s">
        <v>25</v>
      </c>
      <c r="C23" s="3" t="s">
        <v>9</v>
      </c>
      <c r="D23" s="3">
        <v>42</v>
      </c>
      <c r="E23" s="14">
        <v>9</v>
      </c>
      <c r="F23" s="14"/>
      <c r="G23" s="2"/>
    </row>
    <row r="24" spans="1:7" ht="20.100000000000001" customHeight="1" x14ac:dyDescent="0.25">
      <c r="A24" s="2">
        <v>8</v>
      </c>
      <c r="B24" s="2" t="s">
        <v>25</v>
      </c>
      <c r="C24" s="3" t="s">
        <v>9</v>
      </c>
      <c r="D24" s="3">
        <v>44</v>
      </c>
      <c r="E24" s="14"/>
      <c r="F24" s="14"/>
      <c r="G24" s="2"/>
    </row>
    <row r="25" spans="1:7" ht="20.100000000000001" customHeight="1" x14ac:dyDescent="0.25">
      <c r="A25" s="2">
        <v>9</v>
      </c>
      <c r="B25" s="2" t="s">
        <v>25</v>
      </c>
      <c r="C25" s="3" t="s">
        <v>9</v>
      </c>
      <c r="D25" s="3">
        <v>46</v>
      </c>
      <c r="E25" s="14"/>
      <c r="F25" s="14"/>
      <c r="G25" s="2"/>
    </row>
    <row r="27" spans="1:7" ht="75" x14ac:dyDescent="0.3">
      <c r="A27" s="4" t="s">
        <v>0</v>
      </c>
      <c r="B27" s="4" t="s">
        <v>3</v>
      </c>
      <c r="C27" s="5" t="s">
        <v>10</v>
      </c>
      <c r="D27" s="6" t="s">
        <v>11</v>
      </c>
      <c r="E27" s="7" t="s">
        <v>116</v>
      </c>
      <c r="F27" s="5" t="s">
        <v>2</v>
      </c>
      <c r="G27" s="5"/>
    </row>
    <row r="28" spans="1:7" ht="20.100000000000001" customHeight="1" x14ac:dyDescent="0.25">
      <c r="A28" s="2">
        <v>1</v>
      </c>
      <c r="B28" s="2" t="s">
        <v>118</v>
      </c>
      <c r="C28" s="3" t="s">
        <v>4</v>
      </c>
      <c r="D28" s="3">
        <v>30</v>
      </c>
      <c r="E28" s="14"/>
      <c r="F28" s="14"/>
      <c r="G28" s="2"/>
    </row>
    <row r="29" spans="1:7" ht="20.100000000000001" customHeight="1" x14ac:dyDescent="0.25">
      <c r="A29" s="2">
        <v>2</v>
      </c>
      <c r="B29" s="2" t="s">
        <v>118</v>
      </c>
      <c r="C29" s="3" t="s">
        <v>5</v>
      </c>
      <c r="D29" s="3">
        <v>32</v>
      </c>
      <c r="E29" s="14"/>
      <c r="F29" s="14"/>
      <c r="G29" s="2"/>
    </row>
    <row r="30" spans="1:7" ht="20.100000000000001" customHeight="1" x14ac:dyDescent="0.25">
      <c r="A30" s="2">
        <v>3</v>
      </c>
      <c r="B30" s="2" t="s">
        <v>118</v>
      </c>
      <c r="C30" s="3" t="s">
        <v>6</v>
      </c>
      <c r="D30" s="3">
        <v>34</v>
      </c>
      <c r="E30" s="14">
        <v>2</v>
      </c>
      <c r="F30" s="14"/>
      <c r="G30" s="2"/>
    </row>
    <row r="31" spans="1:7" ht="20.100000000000001" customHeight="1" x14ac:dyDescent="0.25">
      <c r="A31" s="2">
        <v>4</v>
      </c>
      <c r="B31" s="2" t="s">
        <v>118</v>
      </c>
      <c r="C31" s="3" t="s">
        <v>7</v>
      </c>
      <c r="D31" s="3">
        <v>36</v>
      </c>
      <c r="E31" s="14"/>
      <c r="F31" s="14"/>
      <c r="G31" s="2"/>
    </row>
    <row r="32" spans="1:7" ht="20.100000000000001" customHeight="1" x14ac:dyDescent="0.25">
      <c r="A32" s="2">
        <v>5</v>
      </c>
      <c r="B32" s="2" t="s">
        <v>118</v>
      </c>
      <c r="C32" s="3" t="s">
        <v>8</v>
      </c>
      <c r="D32" s="3">
        <v>38</v>
      </c>
      <c r="E32" s="14"/>
      <c r="F32" s="14"/>
      <c r="G32" s="2"/>
    </row>
    <row r="33" spans="1:7" ht="20.100000000000001" customHeight="1" x14ac:dyDescent="0.25">
      <c r="A33" s="2">
        <v>6</v>
      </c>
      <c r="B33" s="2" t="s">
        <v>118</v>
      </c>
      <c r="C33" s="3" t="s">
        <v>9</v>
      </c>
      <c r="D33" s="3">
        <v>40</v>
      </c>
      <c r="E33" s="14">
        <v>3</v>
      </c>
      <c r="F33" s="14"/>
      <c r="G33" s="2"/>
    </row>
    <row r="34" spans="1:7" ht="20.100000000000001" customHeight="1" x14ac:dyDescent="0.25">
      <c r="A34" s="2"/>
      <c r="B34" s="2"/>
      <c r="C34" s="3"/>
      <c r="D34" s="3"/>
      <c r="E34" s="14"/>
      <c r="F34" s="14"/>
      <c r="G34" s="2"/>
    </row>
    <row r="35" spans="1:7" ht="20.100000000000001" customHeight="1" x14ac:dyDescent="0.25">
      <c r="A35" s="2"/>
      <c r="B35" s="2"/>
      <c r="C35" s="3"/>
      <c r="D35" s="3"/>
      <c r="E35" s="14"/>
      <c r="F35" s="14"/>
      <c r="G35" s="2"/>
    </row>
    <row r="36" spans="1:7" ht="20.100000000000001" customHeight="1" x14ac:dyDescent="0.25">
      <c r="A36" s="2"/>
      <c r="B36" s="2"/>
      <c r="C36" s="3"/>
      <c r="D36" s="3"/>
      <c r="E36" s="14"/>
      <c r="F36" s="14"/>
      <c r="G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CF8C-EAB7-447A-A54F-A5E269634376}">
  <sheetPr>
    <tabColor rgb="FF002060"/>
  </sheetPr>
  <dimension ref="A3:F37"/>
  <sheetViews>
    <sheetView topLeftCell="A4" workbookViewId="0">
      <selection activeCell="E8" sqref="E8"/>
    </sheetView>
  </sheetViews>
  <sheetFormatPr baseColWidth="10" defaultRowHeight="15" x14ac:dyDescent="0.25"/>
  <cols>
    <col min="1" max="1" width="6" customWidth="1"/>
    <col min="2" max="2" width="33.7109375" customWidth="1"/>
    <col min="3" max="3" width="20" customWidth="1"/>
    <col min="4" max="4" width="15.5703125" customWidth="1"/>
    <col min="5" max="5" width="15.85546875" customWidth="1"/>
  </cols>
  <sheetData>
    <row r="3" spans="1:6" ht="15.75" x14ac:dyDescent="0.25">
      <c r="B3" s="12" t="s">
        <v>18</v>
      </c>
    </row>
    <row r="4" spans="1:6" ht="61.5" customHeight="1" x14ac:dyDescent="0.3">
      <c r="A4" s="15" t="s">
        <v>0</v>
      </c>
      <c r="B4" s="15" t="s">
        <v>3</v>
      </c>
      <c r="C4" s="16" t="s">
        <v>10</v>
      </c>
      <c r="D4" s="17" t="s">
        <v>11</v>
      </c>
      <c r="E4" s="18" t="s">
        <v>1</v>
      </c>
      <c r="F4" s="16" t="s">
        <v>2</v>
      </c>
    </row>
    <row r="5" spans="1:6" ht="20.100000000000001" customHeight="1" x14ac:dyDescent="0.25">
      <c r="A5" s="2">
        <v>1</v>
      </c>
      <c r="B5" s="2" t="s">
        <v>12</v>
      </c>
      <c r="C5" s="3" t="s">
        <v>4</v>
      </c>
      <c r="D5" s="3">
        <v>30</v>
      </c>
      <c r="E5" s="20"/>
      <c r="F5" s="2"/>
    </row>
    <row r="6" spans="1:6" ht="20.100000000000001" customHeight="1" x14ac:dyDescent="0.25">
      <c r="A6" s="2">
        <v>2</v>
      </c>
      <c r="B6" s="2" t="s">
        <v>12</v>
      </c>
      <c r="C6" s="3" t="s">
        <v>5</v>
      </c>
      <c r="D6" s="3">
        <v>32</v>
      </c>
      <c r="E6" s="20"/>
      <c r="F6" s="2"/>
    </row>
    <row r="7" spans="1:6" ht="20.100000000000001" customHeight="1" x14ac:dyDescent="0.25">
      <c r="A7" s="2">
        <v>3</v>
      </c>
      <c r="B7" s="2" t="s">
        <v>12</v>
      </c>
      <c r="C7" s="3" t="s">
        <v>6</v>
      </c>
      <c r="D7" s="3">
        <v>34</v>
      </c>
      <c r="E7" s="14">
        <v>11</v>
      </c>
      <c r="F7" s="2"/>
    </row>
    <row r="8" spans="1:6" ht="20.100000000000001" customHeight="1" x14ac:dyDescent="0.25">
      <c r="A8" s="2">
        <v>4</v>
      </c>
      <c r="B8" s="2" t="s">
        <v>12</v>
      </c>
      <c r="C8" s="3" t="s">
        <v>7</v>
      </c>
      <c r="D8" s="3">
        <v>36</v>
      </c>
      <c r="E8" s="19"/>
      <c r="F8" s="2"/>
    </row>
    <row r="9" spans="1:6" ht="20.100000000000001" customHeight="1" x14ac:dyDescent="0.25">
      <c r="A9" s="2">
        <v>5</v>
      </c>
      <c r="B9" s="2" t="s">
        <v>12</v>
      </c>
      <c r="C9" s="3" t="s">
        <v>8</v>
      </c>
      <c r="D9" s="3">
        <v>38</v>
      </c>
      <c r="E9" s="14">
        <v>20</v>
      </c>
      <c r="F9" s="2"/>
    </row>
    <row r="10" spans="1:6" ht="20.100000000000001" customHeight="1" x14ac:dyDescent="0.25">
      <c r="A10" s="2">
        <v>6</v>
      </c>
      <c r="B10" s="2" t="s">
        <v>12</v>
      </c>
      <c r="C10" s="3" t="s">
        <v>9</v>
      </c>
      <c r="D10" s="3">
        <v>40</v>
      </c>
      <c r="E10" s="14">
        <v>15</v>
      </c>
      <c r="F10" s="2"/>
    </row>
    <row r="11" spans="1:6" ht="20.100000000000001" customHeight="1" x14ac:dyDescent="0.25">
      <c r="A11" s="2">
        <v>7</v>
      </c>
      <c r="B11" s="2" t="s">
        <v>12</v>
      </c>
      <c r="C11" s="3" t="s">
        <v>9</v>
      </c>
      <c r="D11" s="3">
        <v>42</v>
      </c>
      <c r="E11" s="14">
        <v>25</v>
      </c>
      <c r="F11" s="2"/>
    </row>
    <row r="12" spans="1:6" ht="20.100000000000001" customHeight="1" x14ac:dyDescent="0.25">
      <c r="A12" s="2">
        <v>8</v>
      </c>
      <c r="B12" s="2" t="s">
        <v>12</v>
      </c>
      <c r="C12" s="3" t="s">
        <v>9</v>
      </c>
      <c r="D12" s="3">
        <v>44</v>
      </c>
      <c r="E12" s="14">
        <v>7</v>
      </c>
      <c r="F12" s="2"/>
    </row>
    <row r="13" spans="1:6" ht="20.100000000000001" customHeight="1" x14ac:dyDescent="0.25">
      <c r="A13" s="2">
        <v>9</v>
      </c>
      <c r="B13" s="2" t="s">
        <v>12</v>
      </c>
      <c r="C13" s="3" t="s">
        <v>9</v>
      </c>
      <c r="D13" s="3">
        <v>46</v>
      </c>
      <c r="E13" s="14">
        <v>5</v>
      </c>
      <c r="F13" s="2"/>
    </row>
    <row r="14" spans="1:6" ht="20.100000000000001" customHeight="1" x14ac:dyDescent="0.25">
      <c r="A14" s="2">
        <v>10</v>
      </c>
      <c r="B14" s="2" t="s">
        <v>12</v>
      </c>
      <c r="C14" s="3" t="s">
        <v>28</v>
      </c>
      <c r="D14" s="3">
        <v>48</v>
      </c>
      <c r="E14" s="14">
        <v>1</v>
      </c>
      <c r="F14" s="2"/>
    </row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  <row r="29" ht="20.100000000000001" customHeight="1" x14ac:dyDescent="0.25"/>
    <row r="30" ht="20.100000000000001" customHeight="1" x14ac:dyDescent="0.25"/>
    <row r="31" ht="20.100000000000001" customHeight="1" x14ac:dyDescent="0.25"/>
    <row r="32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17D1-9EA0-4287-936E-ECD1A74540F2}">
  <sheetPr>
    <tabColor rgb="FFFFC000"/>
  </sheetPr>
  <dimension ref="A1:F24"/>
  <sheetViews>
    <sheetView tabSelected="1" workbookViewId="0">
      <selection activeCell="E6" sqref="E6"/>
    </sheetView>
  </sheetViews>
  <sheetFormatPr baseColWidth="10" defaultRowHeight="15" x14ac:dyDescent="0.25"/>
  <cols>
    <col min="1" max="1" width="4" customWidth="1"/>
    <col min="2" max="2" width="56.140625" customWidth="1"/>
    <col min="3" max="3" width="20" customWidth="1"/>
    <col min="4" max="4" width="15.5703125" customWidth="1"/>
    <col min="5" max="5" width="15.85546875" customWidth="1"/>
  </cols>
  <sheetData>
    <row r="1" spans="1:6" ht="15.75" x14ac:dyDescent="0.25">
      <c r="B1" s="13" t="s">
        <v>15</v>
      </c>
      <c r="C1" s="13"/>
    </row>
    <row r="2" spans="1:6" ht="15.75" x14ac:dyDescent="0.25">
      <c r="B2" s="13" t="s">
        <v>13</v>
      </c>
      <c r="C2" s="13"/>
    </row>
    <row r="3" spans="1:6" ht="61.5" customHeight="1" x14ac:dyDescent="0.3">
      <c r="A3" s="4" t="s">
        <v>0</v>
      </c>
      <c r="B3" s="4" t="s">
        <v>3</v>
      </c>
      <c r="C3" s="5" t="s">
        <v>10</v>
      </c>
      <c r="D3" s="6" t="s">
        <v>11</v>
      </c>
      <c r="E3" s="7" t="s">
        <v>1</v>
      </c>
      <c r="F3" s="5" t="s">
        <v>2</v>
      </c>
    </row>
    <row r="4" spans="1:6" ht="39.950000000000003" customHeight="1" x14ac:dyDescent="0.25">
      <c r="A4" s="2">
        <v>1</v>
      </c>
      <c r="B4" s="2" t="s">
        <v>14</v>
      </c>
      <c r="C4" s="3" t="s">
        <v>4</v>
      </c>
      <c r="D4" s="3">
        <v>30</v>
      </c>
      <c r="E4" s="14">
        <v>3</v>
      </c>
      <c r="F4" s="2"/>
    </row>
    <row r="5" spans="1:6" ht="39.950000000000003" customHeight="1" x14ac:dyDescent="0.25">
      <c r="A5" s="2">
        <v>2</v>
      </c>
      <c r="B5" s="2" t="s">
        <v>14</v>
      </c>
      <c r="C5" s="3" t="s">
        <v>5</v>
      </c>
      <c r="D5" s="3">
        <v>32</v>
      </c>
      <c r="E5" s="14">
        <v>10</v>
      </c>
      <c r="F5" s="2"/>
    </row>
    <row r="6" spans="1:6" ht="39.950000000000003" customHeight="1" x14ac:dyDescent="0.25">
      <c r="A6" s="2">
        <v>3</v>
      </c>
      <c r="B6" s="2" t="s">
        <v>14</v>
      </c>
      <c r="C6" s="3" t="s">
        <v>6</v>
      </c>
      <c r="D6" s="3">
        <v>34</v>
      </c>
      <c r="E6" s="14">
        <v>2</v>
      </c>
      <c r="F6" s="2"/>
    </row>
    <row r="7" spans="1:6" ht="39.950000000000003" customHeight="1" x14ac:dyDescent="0.25">
      <c r="A7" s="2">
        <v>4</v>
      </c>
      <c r="B7" s="2" t="s">
        <v>14</v>
      </c>
      <c r="C7" s="3" t="s">
        <v>7</v>
      </c>
      <c r="D7" s="3">
        <v>36</v>
      </c>
      <c r="E7" s="14">
        <v>6</v>
      </c>
      <c r="F7" s="2"/>
    </row>
    <row r="8" spans="1:6" ht="39.950000000000003" customHeight="1" x14ac:dyDescent="0.25">
      <c r="A8" s="2">
        <v>5</v>
      </c>
      <c r="B8" s="2" t="s">
        <v>14</v>
      </c>
      <c r="C8" s="3" t="s">
        <v>8</v>
      </c>
      <c r="D8" s="3">
        <v>38</v>
      </c>
      <c r="E8" s="14">
        <v>11</v>
      </c>
      <c r="F8" s="2"/>
    </row>
    <row r="9" spans="1:6" ht="39.950000000000003" customHeight="1" x14ac:dyDescent="0.25">
      <c r="A9" s="2">
        <v>6</v>
      </c>
      <c r="B9" s="2" t="s">
        <v>14</v>
      </c>
      <c r="C9" s="3" t="s">
        <v>9</v>
      </c>
      <c r="D9" s="3">
        <v>40</v>
      </c>
      <c r="E9" s="14">
        <v>10</v>
      </c>
      <c r="F9" s="2"/>
    </row>
    <row r="10" spans="1:6" ht="39.950000000000003" customHeight="1" x14ac:dyDescent="0.25">
      <c r="A10" s="2">
        <v>7</v>
      </c>
      <c r="B10" s="2" t="s">
        <v>14</v>
      </c>
      <c r="C10" s="3" t="s">
        <v>9</v>
      </c>
      <c r="D10" s="3">
        <v>42</v>
      </c>
      <c r="E10" s="14">
        <v>17</v>
      </c>
      <c r="F10" s="2"/>
    </row>
    <row r="11" spans="1:6" ht="39.950000000000003" customHeight="1" x14ac:dyDescent="0.25">
      <c r="A11" s="2">
        <v>8</v>
      </c>
      <c r="B11" s="2" t="s">
        <v>14</v>
      </c>
      <c r="C11" s="3" t="s">
        <v>9</v>
      </c>
      <c r="D11" s="3">
        <v>44</v>
      </c>
      <c r="E11" s="14">
        <v>8</v>
      </c>
      <c r="F11" s="2"/>
    </row>
    <row r="12" spans="1:6" ht="39.950000000000003" customHeight="1" x14ac:dyDescent="0.25">
      <c r="A12" s="2">
        <v>9</v>
      </c>
      <c r="B12" s="2" t="s">
        <v>14</v>
      </c>
      <c r="C12" s="3" t="s">
        <v>9</v>
      </c>
      <c r="D12" s="3">
        <v>46</v>
      </c>
      <c r="E12" s="14">
        <v>3</v>
      </c>
      <c r="F12" s="2"/>
    </row>
    <row r="15" spans="1:6" ht="56.25" x14ac:dyDescent="0.3">
      <c r="A15" s="4" t="s">
        <v>0</v>
      </c>
      <c r="B15" s="4" t="s">
        <v>3</v>
      </c>
      <c r="C15" s="5" t="s">
        <v>10</v>
      </c>
      <c r="D15" s="6" t="s">
        <v>11</v>
      </c>
      <c r="E15" s="7" t="s">
        <v>1</v>
      </c>
      <c r="F15" s="5" t="s">
        <v>2</v>
      </c>
    </row>
    <row r="16" spans="1:6" ht="39.950000000000003" customHeight="1" x14ac:dyDescent="0.25">
      <c r="A16" s="2">
        <v>1</v>
      </c>
      <c r="B16" s="2" t="s">
        <v>29</v>
      </c>
      <c r="C16" s="3" t="s">
        <v>4</v>
      </c>
      <c r="D16" s="3">
        <v>30</v>
      </c>
      <c r="E16" s="14">
        <v>4</v>
      </c>
      <c r="F16" s="2"/>
    </row>
    <row r="17" spans="1:6" ht="39.950000000000003" customHeight="1" x14ac:dyDescent="0.25">
      <c r="A17" s="2">
        <v>2</v>
      </c>
      <c r="B17" s="2" t="s">
        <v>29</v>
      </c>
      <c r="C17" s="3" t="s">
        <v>5</v>
      </c>
      <c r="D17" s="3">
        <v>32</v>
      </c>
      <c r="E17" s="14">
        <v>5</v>
      </c>
      <c r="F17" s="2"/>
    </row>
    <row r="18" spans="1:6" ht="39.950000000000003" customHeight="1" x14ac:dyDescent="0.25">
      <c r="A18" s="2">
        <v>3</v>
      </c>
      <c r="B18" s="2" t="s">
        <v>29</v>
      </c>
      <c r="C18" s="3" t="s">
        <v>6</v>
      </c>
      <c r="D18" s="3">
        <v>34</v>
      </c>
      <c r="E18" s="14">
        <v>11</v>
      </c>
      <c r="F18" s="2"/>
    </row>
    <row r="19" spans="1:6" ht="39.950000000000003" customHeight="1" x14ac:dyDescent="0.25">
      <c r="A19" s="2">
        <v>4</v>
      </c>
      <c r="B19" s="2" t="s">
        <v>29</v>
      </c>
      <c r="C19" s="3" t="s">
        <v>7</v>
      </c>
      <c r="D19" s="3">
        <v>36</v>
      </c>
      <c r="E19" s="14">
        <v>2</v>
      </c>
      <c r="F19" s="2"/>
    </row>
    <row r="20" spans="1:6" ht="39.950000000000003" customHeight="1" x14ac:dyDescent="0.25">
      <c r="A20" s="2">
        <v>5</v>
      </c>
      <c r="B20" s="2" t="s">
        <v>29</v>
      </c>
      <c r="C20" s="3" t="s">
        <v>8</v>
      </c>
      <c r="D20" s="3">
        <v>38</v>
      </c>
      <c r="E20" s="14">
        <v>1</v>
      </c>
      <c r="F20" s="2"/>
    </row>
    <row r="21" spans="1:6" ht="39.950000000000003" customHeight="1" x14ac:dyDescent="0.25">
      <c r="A21" s="2">
        <v>6</v>
      </c>
      <c r="B21" s="2" t="s">
        <v>29</v>
      </c>
      <c r="C21" s="3" t="s">
        <v>9</v>
      </c>
      <c r="D21" s="3">
        <v>40</v>
      </c>
      <c r="E21" s="14"/>
      <c r="F21" s="2"/>
    </row>
    <row r="22" spans="1:6" ht="39.950000000000003" customHeight="1" x14ac:dyDescent="0.25">
      <c r="A22" s="2">
        <v>7</v>
      </c>
      <c r="B22" s="2" t="s">
        <v>29</v>
      </c>
      <c r="C22" s="3" t="s">
        <v>28</v>
      </c>
      <c r="D22" s="3">
        <v>42</v>
      </c>
      <c r="E22" s="14">
        <v>2</v>
      </c>
      <c r="F22" s="2"/>
    </row>
    <row r="23" spans="1:6" ht="39.950000000000003" customHeight="1" x14ac:dyDescent="0.25">
      <c r="A23" s="2">
        <v>8</v>
      </c>
      <c r="B23" s="2" t="s">
        <v>29</v>
      </c>
      <c r="C23" s="3" t="s">
        <v>9</v>
      </c>
      <c r="D23" s="3">
        <v>44</v>
      </c>
      <c r="E23" s="14"/>
      <c r="F23" s="2"/>
    </row>
    <row r="24" spans="1:6" ht="39.950000000000003" customHeight="1" x14ac:dyDescent="0.25">
      <c r="A24" s="2">
        <v>9</v>
      </c>
      <c r="B24" s="2" t="s">
        <v>29</v>
      </c>
      <c r="C24" s="3" t="s">
        <v>9</v>
      </c>
      <c r="D24" s="3">
        <v>46</v>
      </c>
      <c r="E24" s="14"/>
      <c r="F2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85D3-6629-4AEB-AEA6-393CF6089E88}">
  <sheetPr>
    <tabColor rgb="FFFFFF99"/>
  </sheetPr>
  <dimension ref="A4:F26"/>
  <sheetViews>
    <sheetView workbookViewId="0">
      <selection activeCell="D7" sqref="D7"/>
    </sheetView>
  </sheetViews>
  <sheetFormatPr baseColWidth="10" defaultRowHeight="15" x14ac:dyDescent="0.25"/>
  <cols>
    <col min="1" max="1" width="4" customWidth="1"/>
    <col min="2" max="2" width="47.5703125" customWidth="1"/>
    <col min="3" max="3" width="20" customWidth="1"/>
    <col min="4" max="4" width="15.5703125" customWidth="1"/>
    <col min="5" max="5" width="15.85546875" customWidth="1"/>
  </cols>
  <sheetData>
    <row r="4" spans="1:6" x14ac:dyDescent="0.25">
      <c r="B4" t="s">
        <v>17</v>
      </c>
    </row>
    <row r="5" spans="1:6" ht="61.5" customHeight="1" x14ac:dyDescent="0.3">
      <c r="A5" s="8" t="s">
        <v>0</v>
      </c>
      <c r="B5" s="8" t="s">
        <v>3</v>
      </c>
      <c r="C5" s="9" t="s">
        <v>10</v>
      </c>
      <c r="D5" s="10" t="s">
        <v>11</v>
      </c>
      <c r="E5" s="11" t="s">
        <v>1</v>
      </c>
      <c r="F5" s="9" t="s">
        <v>2</v>
      </c>
    </row>
    <row r="6" spans="1:6" ht="39.950000000000003" customHeight="1" x14ac:dyDescent="0.25">
      <c r="A6" s="2">
        <v>1</v>
      </c>
      <c r="B6" s="2" t="s">
        <v>16</v>
      </c>
      <c r="C6" s="3" t="s">
        <v>4</v>
      </c>
      <c r="D6" s="3">
        <v>30</v>
      </c>
      <c r="E6" s="14">
        <v>5</v>
      </c>
      <c r="F6" s="2"/>
    </row>
    <row r="7" spans="1:6" ht="39.950000000000003" customHeight="1" x14ac:dyDescent="0.25">
      <c r="A7" s="2">
        <v>2</v>
      </c>
      <c r="B7" s="2" t="s">
        <v>16</v>
      </c>
      <c r="C7" s="3" t="s">
        <v>5</v>
      </c>
      <c r="D7" s="3">
        <v>32</v>
      </c>
      <c r="E7" s="20"/>
      <c r="F7" s="2"/>
    </row>
    <row r="8" spans="1:6" ht="39.950000000000003" customHeight="1" x14ac:dyDescent="0.25">
      <c r="A8" s="2">
        <v>3</v>
      </c>
      <c r="B8" s="2" t="s">
        <v>16</v>
      </c>
      <c r="C8" s="3" t="s">
        <v>6</v>
      </c>
      <c r="D8" s="3">
        <v>34</v>
      </c>
      <c r="E8" s="20"/>
      <c r="F8" s="2"/>
    </row>
    <row r="9" spans="1:6" ht="39.950000000000003" customHeight="1" x14ac:dyDescent="0.25">
      <c r="A9" s="2">
        <v>4</v>
      </c>
      <c r="B9" s="2" t="s">
        <v>16</v>
      </c>
      <c r="C9" s="3" t="s">
        <v>7</v>
      </c>
      <c r="D9" s="3">
        <v>36</v>
      </c>
      <c r="E9" s="14">
        <v>5</v>
      </c>
      <c r="F9" s="2"/>
    </row>
    <row r="10" spans="1:6" ht="39.950000000000003" customHeight="1" x14ac:dyDescent="0.25">
      <c r="A10" s="2">
        <v>5</v>
      </c>
      <c r="B10" s="2" t="s">
        <v>16</v>
      </c>
      <c r="C10" s="3" t="s">
        <v>8</v>
      </c>
      <c r="D10" s="3">
        <v>38</v>
      </c>
      <c r="E10" s="14">
        <v>14</v>
      </c>
      <c r="F10" s="2"/>
    </row>
    <row r="11" spans="1:6" ht="39.950000000000003" customHeight="1" x14ac:dyDescent="0.25">
      <c r="A11" s="2">
        <v>6</v>
      </c>
      <c r="B11" s="2" t="s">
        <v>16</v>
      </c>
      <c r="C11" s="3" t="s">
        <v>9</v>
      </c>
      <c r="D11" s="3">
        <v>40</v>
      </c>
      <c r="E11" s="14">
        <v>13</v>
      </c>
      <c r="F11" s="2"/>
    </row>
    <row r="12" spans="1:6" ht="39.950000000000003" customHeight="1" x14ac:dyDescent="0.25">
      <c r="A12" s="2">
        <v>7</v>
      </c>
      <c r="B12" s="2" t="s">
        <v>16</v>
      </c>
      <c r="C12" s="3" t="s">
        <v>9</v>
      </c>
      <c r="D12" s="3">
        <v>42</v>
      </c>
      <c r="E12" s="14">
        <v>9</v>
      </c>
      <c r="F12" s="2"/>
    </row>
    <row r="13" spans="1:6" ht="39.950000000000003" customHeight="1" x14ac:dyDescent="0.25">
      <c r="A13" s="2">
        <v>8</v>
      </c>
      <c r="B13" s="2" t="s">
        <v>16</v>
      </c>
      <c r="C13" s="3" t="s">
        <v>9</v>
      </c>
      <c r="D13" s="3">
        <v>44</v>
      </c>
      <c r="E13" s="14">
        <v>18</v>
      </c>
      <c r="F13" s="2"/>
    </row>
    <row r="14" spans="1:6" ht="39.950000000000003" customHeight="1" x14ac:dyDescent="0.25">
      <c r="A14" s="2">
        <v>9</v>
      </c>
      <c r="B14" s="2" t="s">
        <v>16</v>
      </c>
      <c r="C14" s="3" t="s">
        <v>9</v>
      </c>
      <c r="D14" s="3">
        <v>46</v>
      </c>
      <c r="E14" s="21"/>
      <c r="F14" s="2"/>
    </row>
    <row r="17" spans="1:6" ht="56.25" x14ac:dyDescent="0.3">
      <c r="A17" s="8" t="s">
        <v>0</v>
      </c>
      <c r="B17" s="8" t="s">
        <v>3</v>
      </c>
      <c r="C17" s="9" t="s">
        <v>10</v>
      </c>
      <c r="D17" s="10" t="s">
        <v>11</v>
      </c>
      <c r="E17" s="11" t="s">
        <v>1</v>
      </c>
      <c r="F17" s="9" t="s">
        <v>2</v>
      </c>
    </row>
    <row r="18" spans="1:6" ht="39.950000000000003" customHeight="1" x14ac:dyDescent="0.25">
      <c r="A18" s="2">
        <v>1</v>
      </c>
      <c r="B18" s="2" t="s">
        <v>30</v>
      </c>
      <c r="C18" s="3" t="s">
        <v>4</v>
      </c>
      <c r="D18" s="3">
        <v>30</v>
      </c>
      <c r="E18" s="14">
        <v>1</v>
      </c>
      <c r="F18" s="2"/>
    </row>
    <row r="19" spans="1:6" ht="39.950000000000003" customHeight="1" x14ac:dyDescent="0.25">
      <c r="A19" s="2">
        <v>2</v>
      </c>
      <c r="B19" s="2" t="s">
        <v>30</v>
      </c>
      <c r="C19" s="3" t="s">
        <v>5</v>
      </c>
      <c r="D19" s="3">
        <v>32</v>
      </c>
      <c r="E19" s="14">
        <v>1</v>
      </c>
      <c r="F19" s="2"/>
    </row>
    <row r="20" spans="1:6" ht="39.950000000000003" customHeight="1" x14ac:dyDescent="0.25">
      <c r="A20" s="2">
        <v>3</v>
      </c>
      <c r="B20" s="2" t="s">
        <v>30</v>
      </c>
      <c r="C20" s="3" t="s">
        <v>6</v>
      </c>
      <c r="D20" s="3">
        <v>34</v>
      </c>
      <c r="E20" s="14">
        <v>2</v>
      </c>
      <c r="F20" s="2"/>
    </row>
    <row r="21" spans="1:6" ht="39.950000000000003" customHeight="1" x14ac:dyDescent="0.25">
      <c r="A21" s="2">
        <v>4</v>
      </c>
      <c r="B21" s="2" t="s">
        <v>30</v>
      </c>
      <c r="C21" s="3" t="s">
        <v>7</v>
      </c>
      <c r="D21" s="3">
        <v>36</v>
      </c>
      <c r="E21" s="14">
        <v>1</v>
      </c>
      <c r="F21" s="2"/>
    </row>
    <row r="22" spans="1:6" ht="39.950000000000003" customHeight="1" x14ac:dyDescent="0.25">
      <c r="A22" s="2">
        <v>5</v>
      </c>
      <c r="B22" s="2" t="s">
        <v>30</v>
      </c>
      <c r="C22" s="3" t="s">
        <v>8</v>
      </c>
      <c r="D22" s="3">
        <v>38</v>
      </c>
      <c r="E22" s="14">
        <v>3</v>
      </c>
      <c r="F22" s="2"/>
    </row>
    <row r="23" spans="1:6" ht="39.950000000000003" customHeight="1" x14ac:dyDescent="0.25">
      <c r="A23" s="2">
        <v>6</v>
      </c>
      <c r="B23" s="2" t="s">
        <v>30</v>
      </c>
      <c r="C23" s="3" t="s">
        <v>9</v>
      </c>
      <c r="D23" s="3">
        <v>40</v>
      </c>
      <c r="E23" s="2"/>
      <c r="F23" s="2"/>
    </row>
    <row r="24" spans="1:6" ht="39.950000000000003" customHeight="1" x14ac:dyDescent="0.25">
      <c r="A24" s="2">
        <v>7</v>
      </c>
      <c r="B24" s="2" t="s">
        <v>30</v>
      </c>
      <c r="C24" s="3" t="s">
        <v>9</v>
      </c>
      <c r="D24" s="3">
        <v>42</v>
      </c>
      <c r="E24" s="2"/>
      <c r="F24" s="2"/>
    </row>
    <row r="25" spans="1:6" ht="39.950000000000003" customHeight="1" x14ac:dyDescent="0.25">
      <c r="A25" s="2">
        <v>8</v>
      </c>
      <c r="B25" s="2" t="s">
        <v>30</v>
      </c>
      <c r="C25" s="3" t="s">
        <v>9</v>
      </c>
      <c r="D25" s="3">
        <v>44</v>
      </c>
      <c r="E25" s="2"/>
      <c r="F25" s="2"/>
    </row>
    <row r="26" spans="1:6" ht="39.950000000000003" customHeight="1" x14ac:dyDescent="0.25">
      <c r="A26" s="2">
        <v>9</v>
      </c>
      <c r="B26" s="2" t="s">
        <v>30</v>
      </c>
      <c r="C26" s="3" t="s">
        <v>9</v>
      </c>
      <c r="D26" s="3">
        <v>46</v>
      </c>
      <c r="E26" s="2"/>
      <c r="F2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469F-EACD-4089-A238-22375051E0AF}">
  <dimension ref="A1:F10"/>
  <sheetViews>
    <sheetView workbookViewId="0">
      <selection activeCell="I1" sqref="I1"/>
    </sheetView>
  </sheetViews>
  <sheetFormatPr baseColWidth="10" defaultRowHeight="15" x14ac:dyDescent="0.25"/>
  <cols>
    <col min="1" max="1" width="5.85546875" customWidth="1"/>
    <col min="2" max="2" width="47" customWidth="1"/>
    <col min="3" max="3" width="18.7109375" customWidth="1"/>
    <col min="4" max="4" width="18.140625" customWidth="1"/>
    <col min="5" max="5" width="31" customWidth="1"/>
    <col min="6" max="6" width="13" customWidth="1"/>
  </cols>
  <sheetData>
    <row r="1" spans="1:6" ht="56.25" customHeight="1" x14ac:dyDescent="0.3">
      <c r="A1" s="41" t="s">
        <v>0</v>
      </c>
      <c r="B1" s="41" t="s">
        <v>3</v>
      </c>
      <c r="C1" s="42" t="s">
        <v>10</v>
      </c>
      <c r="D1" s="43" t="s">
        <v>11</v>
      </c>
      <c r="E1" s="44" t="s">
        <v>1</v>
      </c>
      <c r="F1" s="42" t="s">
        <v>2</v>
      </c>
    </row>
    <row r="2" spans="1:6" ht="20.100000000000001" customHeight="1" x14ac:dyDescent="0.25">
      <c r="A2" s="45">
        <v>1</v>
      </c>
      <c r="B2" s="45" t="s">
        <v>108</v>
      </c>
      <c r="C2" s="46" t="s">
        <v>5</v>
      </c>
      <c r="D2" s="46">
        <v>32</v>
      </c>
      <c r="E2" s="40">
        <v>4</v>
      </c>
      <c r="F2" s="45"/>
    </row>
    <row r="3" spans="1:6" ht="20.100000000000001" customHeight="1" x14ac:dyDescent="0.25">
      <c r="A3" s="45">
        <v>2</v>
      </c>
      <c r="B3" s="45" t="s">
        <v>108</v>
      </c>
      <c r="C3" s="46" t="s">
        <v>6</v>
      </c>
      <c r="D3" s="46">
        <v>34</v>
      </c>
      <c r="E3" s="40">
        <v>3</v>
      </c>
      <c r="F3" s="45"/>
    </row>
    <row r="4" spans="1:6" ht="20.100000000000001" customHeight="1" x14ac:dyDescent="0.25">
      <c r="A4" s="45">
        <v>3</v>
      </c>
      <c r="B4" s="45" t="s">
        <v>109</v>
      </c>
      <c r="C4" s="46" t="s">
        <v>5</v>
      </c>
      <c r="D4" s="46">
        <v>32</v>
      </c>
      <c r="E4" s="40">
        <v>3</v>
      </c>
      <c r="F4" s="45"/>
    </row>
    <row r="5" spans="1:6" ht="20.100000000000001" customHeight="1" x14ac:dyDescent="0.25">
      <c r="A5" s="45">
        <v>4</v>
      </c>
      <c r="B5" s="45" t="s">
        <v>109</v>
      </c>
      <c r="C5" s="46" t="s">
        <v>6</v>
      </c>
      <c r="D5" s="46">
        <v>34</v>
      </c>
      <c r="E5" s="40">
        <v>4</v>
      </c>
      <c r="F5" s="45"/>
    </row>
    <row r="6" spans="1:6" ht="20.100000000000001" customHeight="1" x14ac:dyDescent="0.25">
      <c r="A6" s="45">
        <v>5</v>
      </c>
      <c r="B6" s="45" t="s">
        <v>109</v>
      </c>
      <c r="C6" s="46" t="s">
        <v>7</v>
      </c>
      <c r="D6" s="46">
        <v>36</v>
      </c>
      <c r="E6" s="40">
        <v>1</v>
      </c>
      <c r="F6" s="45"/>
    </row>
    <row r="7" spans="1:6" ht="20.100000000000001" customHeight="1" x14ac:dyDescent="0.25">
      <c r="A7" s="45">
        <v>6</v>
      </c>
      <c r="B7" s="45" t="s">
        <v>110</v>
      </c>
      <c r="C7" s="46" t="s">
        <v>5</v>
      </c>
      <c r="D7" s="46">
        <v>32</v>
      </c>
      <c r="E7" s="40">
        <v>4</v>
      </c>
      <c r="F7" s="45"/>
    </row>
    <row r="8" spans="1:6" ht="20.100000000000001" customHeight="1" x14ac:dyDescent="0.25">
      <c r="A8" s="45">
        <v>7</v>
      </c>
      <c r="B8" s="45" t="s">
        <v>110</v>
      </c>
      <c r="C8" s="46" t="s">
        <v>6</v>
      </c>
      <c r="D8" s="46">
        <v>34</v>
      </c>
      <c r="E8" s="40">
        <v>3</v>
      </c>
      <c r="F8" s="45"/>
    </row>
    <row r="9" spans="1:6" ht="20.100000000000001" customHeight="1" x14ac:dyDescent="0.25">
      <c r="A9" s="45">
        <v>8</v>
      </c>
      <c r="B9" s="45" t="s">
        <v>110</v>
      </c>
      <c r="C9" s="46" t="s">
        <v>7</v>
      </c>
      <c r="D9" s="46">
        <v>36</v>
      </c>
      <c r="E9" s="40">
        <v>1</v>
      </c>
      <c r="F9" s="45"/>
    </row>
    <row r="10" spans="1:6" ht="18.75" x14ac:dyDescent="0.3">
      <c r="D10" s="23" t="s">
        <v>33</v>
      </c>
      <c r="E10" s="23">
        <f>SUM(E2:E9)</f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2EE8-A284-423C-B74E-1E03E12FD88B}">
  <dimension ref="A1:F3"/>
  <sheetViews>
    <sheetView workbookViewId="0">
      <selection activeCell="B7" sqref="B7"/>
    </sheetView>
  </sheetViews>
  <sheetFormatPr baseColWidth="10" defaultRowHeight="15" x14ac:dyDescent="0.25"/>
  <cols>
    <col min="2" max="2" width="72.7109375" customWidth="1"/>
    <col min="3" max="3" width="23.28515625" customWidth="1"/>
    <col min="4" max="4" width="16.7109375" customWidth="1"/>
    <col min="5" max="5" width="16" customWidth="1"/>
  </cols>
  <sheetData>
    <row r="1" spans="1:6" ht="62.25" customHeight="1" x14ac:dyDescent="0.3">
      <c r="A1" s="9" t="s">
        <v>0</v>
      </c>
      <c r="B1" s="8" t="s">
        <v>3</v>
      </c>
      <c r="C1" s="9" t="s">
        <v>10</v>
      </c>
      <c r="D1" s="10" t="s">
        <v>11</v>
      </c>
      <c r="E1" s="11" t="s">
        <v>1</v>
      </c>
      <c r="F1" s="9" t="s">
        <v>2</v>
      </c>
    </row>
    <row r="2" spans="1:6" ht="15.75" x14ac:dyDescent="0.25">
      <c r="A2" s="3">
        <v>1</v>
      </c>
      <c r="B2" s="2" t="s">
        <v>31</v>
      </c>
      <c r="C2" s="3" t="s">
        <v>9</v>
      </c>
      <c r="D2" s="3">
        <v>40</v>
      </c>
      <c r="E2" s="14">
        <v>2</v>
      </c>
      <c r="F2" s="2"/>
    </row>
    <row r="3" spans="1:6" ht="15.75" x14ac:dyDescent="0.25">
      <c r="A3" s="3">
        <v>2</v>
      </c>
      <c r="B3" s="2" t="s">
        <v>112</v>
      </c>
      <c r="C3" s="3" t="s">
        <v>7</v>
      </c>
      <c r="D3" s="3">
        <v>34</v>
      </c>
      <c r="E3" s="14">
        <v>4</v>
      </c>
      <c r="F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3E97-6FBC-4CE3-8788-027F9CBC7788}">
  <dimension ref="A1:E25"/>
  <sheetViews>
    <sheetView topLeftCell="A6" workbookViewId="0">
      <selection activeCell="B5" sqref="B5"/>
    </sheetView>
  </sheetViews>
  <sheetFormatPr baseColWidth="10" defaultRowHeight="15" x14ac:dyDescent="0.25"/>
  <cols>
    <col min="1" max="1" width="4" customWidth="1"/>
    <col min="2" max="2" width="49.42578125" customWidth="1"/>
    <col min="3" max="3" width="20" customWidth="1"/>
    <col min="4" max="4" width="15.85546875" customWidth="1"/>
  </cols>
  <sheetData>
    <row r="1" spans="1:5" ht="61.5" customHeight="1" x14ac:dyDescent="0.3">
      <c r="A1" s="8" t="s">
        <v>0</v>
      </c>
      <c r="B1" s="8" t="s">
        <v>3</v>
      </c>
      <c r="C1" s="9" t="s">
        <v>19</v>
      </c>
      <c r="D1" s="11" t="s">
        <v>1</v>
      </c>
      <c r="E1" s="9" t="s">
        <v>2</v>
      </c>
    </row>
    <row r="2" spans="1:5" ht="39.950000000000003" customHeight="1" x14ac:dyDescent="0.25">
      <c r="A2" s="2">
        <v>1</v>
      </c>
      <c r="B2" s="2" t="s">
        <v>21</v>
      </c>
      <c r="C2" s="3" t="s">
        <v>20</v>
      </c>
      <c r="D2" s="3">
        <v>6</v>
      </c>
      <c r="E2" s="3"/>
    </row>
    <row r="3" spans="1:5" ht="39.950000000000003" customHeight="1" x14ac:dyDescent="0.25">
      <c r="A3" s="2">
        <v>2</v>
      </c>
      <c r="B3" s="2" t="s">
        <v>94</v>
      </c>
      <c r="C3" s="3" t="s">
        <v>20</v>
      </c>
      <c r="D3" s="3">
        <v>2</v>
      </c>
      <c r="E3" s="3"/>
    </row>
    <row r="4" spans="1:5" ht="39.950000000000003" customHeight="1" x14ac:dyDescent="0.25">
      <c r="A4" s="2">
        <v>3</v>
      </c>
      <c r="B4" s="2" t="s">
        <v>95</v>
      </c>
      <c r="C4" s="3" t="s">
        <v>20</v>
      </c>
      <c r="D4" s="3">
        <v>7</v>
      </c>
      <c r="E4" s="3"/>
    </row>
    <row r="5" spans="1:5" ht="39.950000000000003" customHeight="1" x14ac:dyDescent="0.25">
      <c r="A5" s="2">
        <v>3</v>
      </c>
      <c r="B5" s="2" t="s">
        <v>96</v>
      </c>
      <c r="C5" s="3" t="s">
        <v>20</v>
      </c>
      <c r="D5" s="3">
        <v>8</v>
      </c>
      <c r="E5" s="3"/>
    </row>
    <row r="6" spans="1:5" ht="39.950000000000003" customHeight="1" x14ac:dyDescent="0.25">
      <c r="A6" s="2">
        <v>4</v>
      </c>
      <c r="B6" s="2" t="s">
        <v>97</v>
      </c>
      <c r="C6" s="3" t="s">
        <v>20</v>
      </c>
      <c r="D6" s="3">
        <v>6</v>
      </c>
      <c r="E6" s="3"/>
    </row>
    <row r="7" spans="1:5" ht="39.950000000000003" customHeight="1" x14ac:dyDescent="0.25">
      <c r="A7" s="2">
        <v>5</v>
      </c>
      <c r="B7" s="2" t="s">
        <v>22</v>
      </c>
      <c r="C7" s="3" t="s">
        <v>20</v>
      </c>
      <c r="D7" s="3">
        <v>8</v>
      </c>
      <c r="E7" s="3"/>
    </row>
    <row r="8" spans="1:5" ht="39.950000000000003" customHeight="1" x14ac:dyDescent="0.25">
      <c r="A8" s="2">
        <v>6</v>
      </c>
      <c r="B8" s="2" t="s">
        <v>23</v>
      </c>
      <c r="C8" s="3" t="s">
        <v>20</v>
      </c>
      <c r="D8" s="3">
        <v>18</v>
      </c>
      <c r="E8" s="3"/>
    </row>
    <row r="9" spans="1:5" ht="39.950000000000003" customHeight="1" x14ac:dyDescent="0.25">
      <c r="A9" s="2">
        <v>7</v>
      </c>
      <c r="B9" s="2" t="s">
        <v>24</v>
      </c>
      <c r="C9" s="3" t="s">
        <v>20</v>
      </c>
      <c r="D9" s="3">
        <v>25</v>
      </c>
      <c r="E9" s="3"/>
    </row>
    <row r="10" spans="1:5" ht="39.950000000000003" customHeight="1" x14ac:dyDescent="0.25">
      <c r="A10" s="2">
        <v>8</v>
      </c>
      <c r="B10" s="2" t="s">
        <v>44</v>
      </c>
      <c r="C10" s="3" t="s">
        <v>20</v>
      </c>
      <c r="D10" s="3">
        <v>43</v>
      </c>
      <c r="E10" s="3"/>
    </row>
    <row r="11" spans="1:5" ht="39.950000000000003" customHeight="1" x14ac:dyDescent="0.25">
      <c r="A11" s="2">
        <v>8</v>
      </c>
      <c r="B11" s="2" t="s">
        <v>98</v>
      </c>
      <c r="C11" s="3" t="s">
        <v>20</v>
      </c>
      <c r="D11" s="3">
        <v>10</v>
      </c>
      <c r="E11" s="3"/>
    </row>
    <row r="12" spans="1:5" ht="39.950000000000003" customHeight="1" x14ac:dyDescent="0.25">
      <c r="A12" s="2">
        <v>9</v>
      </c>
      <c r="B12" s="2" t="s">
        <v>92</v>
      </c>
      <c r="C12" s="3" t="s">
        <v>41</v>
      </c>
      <c r="D12" s="3">
        <v>29</v>
      </c>
      <c r="E12" s="3"/>
    </row>
    <row r="13" spans="1:5" ht="39.950000000000003" customHeight="1" x14ac:dyDescent="0.25">
      <c r="A13" s="2">
        <v>10</v>
      </c>
      <c r="B13" s="2" t="s">
        <v>93</v>
      </c>
      <c r="C13" s="3" t="s">
        <v>41</v>
      </c>
      <c r="D13" s="3">
        <v>2</v>
      </c>
      <c r="E13" s="3"/>
    </row>
    <row r="17" ht="39.950000000000003" customHeight="1" x14ac:dyDescent="0.25"/>
    <row r="18" ht="39.950000000000003" customHeight="1" x14ac:dyDescent="0.25"/>
    <row r="19" ht="39.950000000000003" customHeight="1" x14ac:dyDescent="0.25"/>
    <row r="20" ht="39.950000000000003" customHeight="1" x14ac:dyDescent="0.25"/>
    <row r="21" ht="39.950000000000003" customHeight="1" x14ac:dyDescent="0.25"/>
    <row r="22" ht="39.950000000000003" customHeight="1" x14ac:dyDescent="0.25"/>
    <row r="23" ht="39.950000000000003" customHeight="1" x14ac:dyDescent="0.25"/>
    <row r="24" ht="39.950000000000003" customHeight="1" x14ac:dyDescent="0.25"/>
    <row r="25" ht="39.950000000000003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24E6-998E-4438-80B7-CBE882FEEDA1}">
  <sheetPr>
    <tabColor theme="9" tint="-0.249977111117893"/>
  </sheetPr>
  <dimension ref="A2:K21"/>
  <sheetViews>
    <sheetView workbookViewId="0">
      <selection activeCell="A2" sqref="A2:K9"/>
    </sheetView>
  </sheetViews>
  <sheetFormatPr baseColWidth="10" defaultRowHeight="15" x14ac:dyDescent="0.25"/>
  <cols>
    <col min="1" max="1" width="5.85546875" customWidth="1"/>
    <col min="2" max="2" width="44.7109375" customWidth="1"/>
    <col min="3" max="3" width="14" customWidth="1"/>
    <col min="4" max="4" width="16.28515625" customWidth="1"/>
    <col min="5" max="5" width="19.140625" customWidth="1"/>
    <col min="6" max="6" width="15.5703125" customWidth="1"/>
  </cols>
  <sheetData>
    <row r="2" spans="1:11" ht="72.75" customHeight="1" x14ac:dyDescent="0.3">
      <c r="A2" s="24" t="s">
        <v>0</v>
      </c>
      <c r="B2" s="24" t="s">
        <v>3</v>
      </c>
      <c r="C2" s="25" t="s">
        <v>19</v>
      </c>
      <c r="D2" s="48" t="s">
        <v>121</v>
      </c>
      <c r="E2" s="26" t="s">
        <v>120</v>
      </c>
      <c r="F2" s="26" t="s">
        <v>119</v>
      </c>
      <c r="G2" s="26" t="s">
        <v>68</v>
      </c>
      <c r="H2" s="25" t="s">
        <v>2</v>
      </c>
      <c r="I2" s="25" t="s">
        <v>2</v>
      </c>
      <c r="J2" s="25" t="s">
        <v>2</v>
      </c>
      <c r="K2" s="25" t="s">
        <v>2</v>
      </c>
    </row>
    <row r="3" spans="1:11" ht="18.75" x14ac:dyDescent="0.3">
      <c r="A3" s="3">
        <v>1</v>
      </c>
      <c r="B3" s="2" t="s">
        <v>32</v>
      </c>
      <c r="C3" s="49">
        <v>37</v>
      </c>
      <c r="D3" s="50" t="e">
        <f>E3+F3</f>
        <v>#VALUE!</v>
      </c>
      <c r="E3" s="3" t="s">
        <v>122</v>
      </c>
      <c r="F3" s="3">
        <v>4</v>
      </c>
      <c r="G3" s="37">
        <v>160</v>
      </c>
      <c r="H3" s="3"/>
      <c r="I3" s="3"/>
      <c r="J3" s="3">
        <v>1</v>
      </c>
      <c r="K3" s="3"/>
    </row>
    <row r="4" spans="1:11" ht="18.75" x14ac:dyDescent="0.3">
      <c r="A4" s="3">
        <v>2</v>
      </c>
      <c r="B4" s="2" t="s">
        <v>32</v>
      </c>
      <c r="C4" s="49">
        <v>38</v>
      </c>
      <c r="D4" s="50">
        <f t="shared" ref="D4:D9" si="0">E4+F4</f>
        <v>16</v>
      </c>
      <c r="E4" s="3">
        <v>16</v>
      </c>
      <c r="F4" s="3"/>
      <c r="G4" s="37">
        <v>160</v>
      </c>
      <c r="H4" s="3"/>
      <c r="I4" s="3"/>
      <c r="J4" s="3"/>
      <c r="K4" s="3"/>
    </row>
    <row r="5" spans="1:11" ht="18.75" x14ac:dyDescent="0.3">
      <c r="A5" s="3">
        <v>3</v>
      </c>
      <c r="B5" s="2" t="s">
        <v>32</v>
      </c>
      <c r="C5" s="49">
        <v>39</v>
      </c>
      <c r="D5" s="50">
        <f t="shared" si="0"/>
        <v>6</v>
      </c>
      <c r="E5" s="3">
        <v>3</v>
      </c>
      <c r="F5" s="3">
        <v>3</v>
      </c>
      <c r="G5" s="37">
        <v>160</v>
      </c>
      <c r="H5" s="3"/>
      <c r="I5" s="3"/>
      <c r="J5" s="3"/>
      <c r="K5" s="3"/>
    </row>
    <row r="6" spans="1:11" ht="18.75" x14ac:dyDescent="0.3">
      <c r="A6" s="3">
        <v>4</v>
      </c>
      <c r="B6" s="2" t="s">
        <v>32</v>
      </c>
      <c r="C6" s="49">
        <v>40</v>
      </c>
      <c r="D6" s="50">
        <f t="shared" si="0"/>
        <v>8</v>
      </c>
      <c r="E6" s="3">
        <v>3</v>
      </c>
      <c r="F6" s="3">
        <v>5</v>
      </c>
      <c r="G6" s="37">
        <v>160</v>
      </c>
      <c r="H6" s="3"/>
      <c r="I6" s="3"/>
      <c r="J6" s="3"/>
      <c r="K6" s="3"/>
    </row>
    <row r="7" spans="1:11" ht="18.75" x14ac:dyDescent="0.3">
      <c r="A7" s="3">
        <v>5</v>
      </c>
      <c r="B7" s="2" t="s">
        <v>32</v>
      </c>
      <c r="C7" s="49">
        <v>41</v>
      </c>
      <c r="D7" s="50">
        <f t="shared" si="0"/>
        <v>7</v>
      </c>
      <c r="E7" s="3">
        <v>5</v>
      </c>
      <c r="F7" s="3">
        <v>2</v>
      </c>
      <c r="G7" s="37">
        <v>160</v>
      </c>
      <c r="H7" s="3"/>
      <c r="I7" s="3"/>
      <c r="J7" s="3"/>
      <c r="K7" s="3"/>
    </row>
    <row r="8" spans="1:11" ht="18.75" x14ac:dyDescent="0.3">
      <c r="A8" s="3">
        <v>6</v>
      </c>
      <c r="B8" s="2" t="s">
        <v>32</v>
      </c>
      <c r="C8" s="49">
        <v>42</v>
      </c>
      <c r="D8" s="50">
        <f t="shared" si="0"/>
        <v>7</v>
      </c>
      <c r="E8" s="3">
        <v>4</v>
      </c>
      <c r="F8" s="3">
        <v>3</v>
      </c>
      <c r="G8" s="37">
        <v>160</v>
      </c>
      <c r="H8" s="3"/>
      <c r="I8" s="3"/>
      <c r="J8" s="3"/>
      <c r="K8" s="3"/>
    </row>
    <row r="9" spans="1:11" ht="18.75" x14ac:dyDescent="0.3">
      <c r="A9" s="3">
        <v>7</v>
      </c>
      <c r="B9" s="2" t="s">
        <v>32</v>
      </c>
      <c r="C9" s="49">
        <v>43</v>
      </c>
      <c r="D9" s="50">
        <f t="shared" si="0"/>
        <v>4</v>
      </c>
      <c r="E9" s="3"/>
      <c r="F9" s="3">
        <v>4</v>
      </c>
      <c r="G9" s="37">
        <v>160</v>
      </c>
      <c r="H9" s="3"/>
      <c r="I9" s="3"/>
      <c r="J9" s="3"/>
      <c r="K9" s="3"/>
    </row>
    <row r="10" spans="1:11" ht="18.75" x14ac:dyDescent="0.3">
      <c r="C10" s="22" t="s">
        <v>33</v>
      </c>
      <c r="D10" s="23">
        <f>SUM(E3:E9)</f>
        <v>31</v>
      </c>
      <c r="E10" s="23"/>
      <c r="F10" t="s">
        <v>122</v>
      </c>
    </row>
    <row r="13" spans="1:11" ht="56.25" x14ac:dyDescent="0.3">
      <c r="A13" s="27" t="s">
        <v>0</v>
      </c>
      <c r="B13" s="27" t="s">
        <v>3</v>
      </c>
      <c r="C13" s="28" t="s">
        <v>19</v>
      </c>
      <c r="D13" s="29" t="s">
        <v>1</v>
      </c>
      <c r="E13" s="29"/>
      <c r="F13" s="28" t="s">
        <v>2</v>
      </c>
    </row>
    <row r="14" spans="1:11" ht="15.75" x14ac:dyDescent="0.25">
      <c r="A14" s="3">
        <v>1</v>
      </c>
      <c r="B14" s="2" t="s">
        <v>34</v>
      </c>
      <c r="C14" s="3">
        <v>37</v>
      </c>
      <c r="D14" s="3"/>
      <c r="E14" s="3"/>
      <c r="F14" s="3"/>
    </row>
    <row r="15" spans="1:11" ht="15.75" x14ac:dyDescent="0.25">
      <c r="A15" s="3">
        <v>2</v>
      </c>
      <c r="B15" s="2" t="s">
        <v>34</v>
      </c>
      <c r="C15" s="3">
        <v>38</v>
      </c>
      <c r="D15" s="3">
        <v>1</v>
      </c>
      <c r="E15" s="3"/>
      <c r="F15" s="3"/>
    </row>
    <row r="16" spans="1:11" ht="15.75" x14ac:dyDescent="0.25">
      <c r="A16" s="3">
        <v>3</v>
      </c>
      <c r="B16" s="2" t="s">
        <v>34</v>
      </c>
      <c r="C16" s="3">
        <v>39</v>
      </c>
      <c r="D16" s="3">
        <v>6</v>
      </c>
      <c r="E16" s="3"/>
      <c r="F16" s="3"/>
    </row>
    <row r="17" spans="1:6" ht="15.75" x14ac:dyDescent="0.25">
      <c r="A17" s="3">
        <v>4</v>
      </c>
      <c r="B17" s="2" t="s">
        <v>34</v>
      </c>
      <c r="C17" s="3">
        <v>40</v>
      </c>
      <c r="D17" s="3">
        <v>1</v>
      </c>
      <c r="E17" s="3"/>
      <c r="F17" s="3"/>
    </row>
    <row r="18" spans="1:6" ht="15.75" x14ac:dyDescent="0.25">
      <c r="A18" s="3">
        <v>5</v>
      </c>
      <c r="B18" s="2" t="s">
        <v>34</v>
      </c>
      <c r="C18" s="3">
        <v>41</v>
      </c>
      <c r="D18" s="3"/>
      <c r="E18" s="3"/>
      <c r="F18" s="3"/>
    </row>
    <row r="19" spans="1:6" ht="15.75" x14ac:dyDescent="0.25">
      <c r="A19" s="3">
        <v>6</v>
      </c>
      <c r="B19" s="2" t="s">
        <v>34</v>
      </c>
      <c r="C19" s="3">
        <v>42</v>
      </c>
      <c r="D19" s="3">
        <v>3</v>
      </c>
      <c r="E19" s="3"/>
      <c r="F19" s="3"/>
    </row>
    <row r="20" spans="1:6" ht="15.75" x14ac:dyDescent="0.25">
      <c r="A20" s="3">
        <v>7</v>
      </c>
      <c r="B20" s="2" t="s">
        <v>34</v>
      </c>
      <c r="C20" s="3">
        <v>43</v>
      </c>
      <c r="D20" s="3"/>
      <c r="E20" s="3"/>
      <c r="F20" s="3"/>
    </row>
    <row r="21" spans="1:6" ht="18.75" x14ac:dyDescent="0.3">
      <c r="C21" s="22" t="s">
        <v>33</v>
      </c>
      <c r="D21" s="23">
        <f>SUM(D14:D20)</f>
        <v>11</v>
      </c>
      <c r="E21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6BD9-DD19-47B2-8A28-3966A8E932E7}">
  <dimension ref="A1:E21"/>
  <sheetViews>
    <sheetView workbookViewId="0">
      <selection activeCell="C11" sqref="C11"/>
    </sheetView>
  </sheetViews>
  <sheetFormatPr baseColWidth="10" defaultRowHeight="15" x14ac:dyDescent="0.25"/>
  <cols>
    <col min="1" max="1" width="4.85546875" customWidth="1"/>
    <col min="2" max="2" width="48" customWidth="1"/>
    <col min="4" max="4" width="22.5703125" customWidth="1"/>
    <col min="5" max="5" width="12.85546875" customWidth="1"/>
  </cols>
  <sheetData>
    <row r="1" spans="1:5" ht="56.25" x14ac:dyDescent="0.3">
      <c r="A1" s="30" t="s">
        <v>0</v>
      </c>
      <c r="B1" s="30" t="s">
        <v>3</v>
      </c>
      <c r="C1" s="31" t="s">
        <v>19</v>
      </c>
      <c r="D1" s="32" t="s">
        <v>1</v>
      </c>
      <c r="E1" s="31" t="s">
        <v>2</v>
      </c>
    </row>
    <row r="2" spans="1:5" ht="15.75" x14ac:dyDescent="0.25">
      <c r="A2" s="3">
        <v>1</v>
      </c>
      <c r="B2" s="2" t="s">
        <v>35</v>
      </c>
      <c r="C2" s="3" t="s">
        <v>20</v>
      </c>
      <c r="D2" s="3">
        <v>79</v>
      </c>
      <c r="E2" s="3"/>
    </row>
    <row r="3" spans="1:5" ht="15.75" x14ac:dyDescent="0.25">
      <c r="A3" s="3">
        <v>2</v>
      </c>
      <c r="B3" s="2" t="s">
        <v>35</v>
      </c>
      <c r="C3" s="3" t="s">
        <v>20</v>
      </c>
      <c r="D3" s="3">
        <v>15</v>
      </c>
      <c r="E3" s="3"/>
    </row>
    <row r="4" spans="1:5" ht="15.75" x14ac:dyDescent="0.25">
      <c r="A4" s="3">
        <v>3</v>
      </c>
      <c r="B4" s="2" t="s">
        <v>99</v>
      </c>
      <c r="C4" s="3" t="s">
        <v>41</v>
      </c>
      <c r="D4" s="3">
        <v>31</v>
      </c>
      <c r="E4" s="3"/>
    </row>
    <row r="5" spans="1:5" ht="15.75" x14ac:dyDescent="0.25">
      <c r="A5" s="3">
        <v>4</v>
      </c>
      <c r="B5" s="2" t="s">
        <v>48</v>
      </c>
      <c r="C5" s="3" t="s">
        <v>41</v>
      </c>
      <c r="D5" s="3">
        <v>2</v>
      </c>
      <c r="E5" s="3"/>
    </row>
    <row r="6" spans="1:5" ht="15.75" x14ac:dyDescent="0.25">
      <c r="A6" s="3">
        <v>5</v>
      </c>
      <c r="B6" s="2" t="s">
        <v>36</v>
      </c>
      <c r="C6" s="3" t="s">
        <v>20</v>
      </c>
      <c r="D6" s="3">
        <v>12</v>
      </c>
      <c r="E6" s="3"/>
    </row>
    <row r="7" spans="1:5" ht="15.75" x14ac:dyDescent="0.25">
      <c r="A7" s="3">
        <v>6</v>
      </c>
      <c r="B7" s="2" t="s">
        <v>100</v>
      </c>
      <c r="C7" s="3" t="s">
        <v>41</v>
      </c>
      <c r="D7" s="3">
        <v>8</v>
      </c>
      <c r="E7" s="3"/>
    </row>
    <row r="8" spans="1:5" ht="15.75" x14ac:dyDescent="0.25">
      <c r="A8" s="3">
        <v>7</v>
      </c>
      <c r="B8" s="2" t="s">
        <v>101</v>
      </c>
      <c r="C8" s="3" t="s">
        <v>41</v>
      </c>
      <c r="D8" s="3">
        <v>35</v>
      </c>
      <c r="E8" s="3"/>
    </row>
    <row r="9" spans="1:5" ht="15.75" x14ac:dyDescent="0.25">
      <c r="A9" s="3">
        <v>8</v>
      </c>
      <c r="B9" s="2" t="s">
        <v>37</v>
      </c>
      <c r="C9" s="3" t="s">
        <v>38</v>
      </c>
      <c r="D9" s="3">
        <v>9</v>
      </c>
      <c r="E9" s="3"/>
    </row>
    <row r="10" spans="1:5" ht="15.75" x14ac:dyDescent="0.25">
      <c r="A10" s="3">
        <v>9</v>
      </c>
      <c r="B10" s="2" t="s">
        <v>103</v>
      </c>
      <c r="C10" s="3" t="s">
        <v>102</v>
      </c>
      <c r="D10" s="3">
        <v>1</v>
      </c>
      <c r="E10" s="3"/>
    </row>
    <row r="11" spans="1:5" ht="15.75" x14ac:dyDescent="0.25">
      <c r="A11" s="3">
        <v>10</v>
      </c>
      <c r="B11" s="2" t="s">
        <v>39</v>
      </c>
      <c r="C11" s="3" t="s">
        <v>41</v>
      </c>
      <c r="D11" s="3">
        <v>6</v>
      </c>
      <c r="E11" s="3"/>
    </row>
    <row r="12" spans="1:5" ht="15.75" x14ac:dyDescent="0.25">
      <c r="A12" s="3">
        <v>11</v>
      </c>
      <c r="B12" s="2" t="s">
        <v>53</v>
      </c>
      <c r="C12" s="3" t="s">
        <v>41</v>
      </c>
      <c r="D12" s="3">
        <v>8</v>
      </c>
      <c r="E12" s="3"/>
    </row>
    <row r="13" spans="1:5" ht="15.75" x14ac:dyDescent="0.25">
      <c r="A13" s="3">
        <v>12</v>
      </c>
      <c r="B13" s="2" t="s">
        <v>104</v>
      </c>
      <c r="C13" s="3" t="s">
        <v>41</v>
      </c>
      <c r="D13" s="3">
        <v>5</v>
      </c>
      <c r="E13" s="3"/>
    </row>
    <row r="14" spans="1:5" ht="15.75" x14ac:dyDescent="0.25">
      <c r="A14" s="3"/>
      <c r="B14" s="2"/>
      <c r="C14" s="3"/>
      <c r="D14" s="3"/>
      <c r="E14" s="3"/>
    </row>
    <row r="15" spans="1:5" ht="18.75" x14ac:dyDescent="0.3">
      <c r="C15" s="22" t="s">
        <v>33</v>
      </c>
      <c r="D15" s="23">
        <f>SUM(D2:D14)</f>
        <v>211</v>
      </c>
    </row>
    <row r="21" spans="5:5" x14ac:dyDescent="0.25">
      <c r="E2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F16D1-23E2-44D3-B717-1F4E53217157}">
  <dimension ref="A1:E55"/>
  <sheetViews>
    <sheetView topLeftCell="A32" workbookViewId="0">
      <selection activeCell="F4" sqref="F4"/>
    </sheetView>
  </sheetViews>
  <sheetFormatPr baseColWidth="10" defaultRowHeight="15" x14ac:dyDescent="0.25"/>
  <cols>
    <col min="1" max="1" width="5.5703125" customWidth="1"/>
    <col min="2" max="2" width="50.140625" customWidth="1"/>
    <col min="4" max="4" width="22.5703125" customWidth="1"/>
    <col min="5" max="5" width="12.85546875" customWidth="1"/>
  </cols>
  <sheetData>
    <row r="1" spans="1:5" ht="56.25" x14ac:dyDescent="0.3">
      <c r="A1" s="30" t="s">
        <v>0</v>
      </c>
      <c r="B1" s="30" t="s">
        <v>3</v>
      </c>
      <c r="C1" s="33" t="s">
        <v>40</v>
      </c>
      <c r="D1" s="32" t="s">
        <v>1</v>
      </c>
      <c r="E1" s="31" t="s">
        <v>2</v>
      </c>
    </row>
    <row r="2" spans="1:5" ht="15.75" x14ac:dyDescent="0.25">
      <c r="A2" s="3">
        <v>1</v>
      </c>
      <c r="B2" s="2" t="s">
        <v>49</v>
      </c>
      <c r="C2" s="3" t="s">
        <v>41</v>
      </c>
      <c r="D2" s="3">
        <v>114</v>
      </c>
      <c r="E2" s="3"/>
    </row>
    <row r="3" spans="1:5" ht="15.75" x14ac:dyDescent="0.25">
      <c r="A3" s="3">
        <v>2</v>
      </c>
      <c r="B3" s="2" t="s">
        <v>42</v>
      </c>
      <c r="C3" s="3" t="s">
        <v>41</v>
      </c>
      <c r="D3" s="3">
        <v>18</v>
      </c>
      <c r="E3" s="3"/>
    </row>
    <row r="4" spans="1:5" ht="15.75" x14ac:dyDescent="0.25">
      <c r="A4" s="3">
        <v>3</v>
      </c>
      <c r="B4" s="2" t="s">
        <v>43</v>
      </c>
      <c r="C4" s="3" t="s">
        <v>41</v>
      </c>
      <c r="D4" s="3">
        <v>21</v>
      </c>
      <c r="E4" s="3"/>
    </row>
    <row r="5" spans="1:5" ht="15.75" x14ac:dyDescent="0.25">
      <c r="A5" s="3">
        <v>4</v>
      </c>
      <c r="B5" s="2" t="s">
        <v>124</v>
      </c>
      <c r="C5" s="3" t="s">
        <v>41</v>
      </c>
      <c r="D5" s="3">
        <v>3</v>
      </c>
      <c r="E5" s="3"/>
    </row>
    <row r="6" spans="1:5" ht="15.75" x14ac:dyDescent="0.25">
      <c r="A6" s="3">
        <v>5</v>
      </c>
      <c r="B6" s="2" t="s">
        <v>105</v>
      </c>
      <c r="C6" s="3" t="s">
        <v>41</v>
      </c>
      <c r="D6" s="3">
        <v>11</v>
      </c>
      <c r="E6" s="3"/>
    </row>
    <row r="7" spans="1:5" ht="15.75" x14ac:dyDescent="0.25">
      <c r="A7" s="3">
        <v>6</v>
      </c>
      <c r="B7" s="2" t="s">
        <v>111</v>
      </c>
      <c r="C7" s="3" t="s">
        <v>41</v>
      </c>
      <c r="D7" s="3">
        <v>13</v>
      </c>
      <c r="E7" s="3"/>
    </row>
    <row r="8" spans="1:5" ht="15.75" x14ac:dyDescent="0.25">
      <c r="A8" s="3">
        <v>6</v>
      </c>
      <c r="B8" s="2" t="s">
        <v>45</v>
      </c>
      <c r="C8" s="3" t="s">
        <v>41</v>
      </c>
      <c r="D8" s="3">
        <v>4</v>
      </c>
      <c r="E8" s="3"/>
    </row>
    <row r="9" spans="1:5" ht="15.75" x14ac:dyDescent="0.25">
      <c r="A9" s="3">
        <v>7</v>
      </c>
      <c r="B9" s="2" t="s">
        <v>46</v>
      </c>
      <c r="C9" s="3" t="s">
        <v>41</v>
      </c>
      <c r="D9" s="3">
        <v>15</v>
      </c>
      <c r="E9" s="3"/>
    </row>
    <row r="10" spans="1:5" ht="15.75" x14ac:dyDescent="0.25">
      <c r="A10" s="3">
        <v>8</v>
      </c>
      <c r="B10" s="2" t="s">
        <v>47</v>
      </c>
      <c r="C10" s="3" t="s">
        <v>41</v>
      </c>
      <c r="D10" s="3">
        <v>7</v>
      </c>
      <c r="E10" s="3"/>
    </row>
    <row r="11" spans="1:5" ht="15.75" x14ac:dyDescent="0.25">
      <c r="A11" s="3">
        <v>9</v>
      </c>
      <c r="B11" s="2" t="s">
        <v>50</v>
      </c>
      <c r="C11" s="3" t="s">
        <v>41</v>
      </c>
      <c r="D11" s="3">
        <v>27</v>
      </c>
      <c r="E11" s="3"/>
    </row>
    <row r="12" spans="1:5" ht="15.75" x14ac:dyDescent="0.25">
      <c r="A12" s="3">
        <v>10</v>
      </c>
      <c r="B12" s="2" t="s">
        <v>51</v>
      </c>
      <c r="C12" s="3" t="s">
        <v>41</v>
      </c>
      <c r="D12" s="3">
        <v>9</v>
      </c>
      <c r="E12" s="3"/>
    </row>
    <row r="13" spans="1:5" ht="15.75" x14ac:dyDescent="0.25">
      <c r="A13" s="3">
        <v>11</v>
      </c>
      <c r="B13" s="2" t="s">
        <v>52</v>
      </c>
      <c r="C13" s="3" t="s">
        <v>41</v>
      </c>
      <c r="D13" s="3">
        <v>4</v>
      </c>
      <c r="E13" s="3"/>
    </row>
    <row r="14" spans="1:5" ht="15.75" x14ac:dyDescent="0.25">
      <c r="A14" s="3">
        <v>12</v>
      </c>
      <c r="B14" s="2" t="s">
        <v>54</v>
      </c>
      <c r="C14" s="3" t="s">
        <v>41</v>
      </c>
      <c r="D14" s="3">
        <v>2</v>
      </c>
      <c r="E14" s="3"/>
    </row>
    <row r="15" spans="1:5" ht="15.75" x14ac:dyDescent="0.25">
      <c r="A15" s="3">
        <v>13</v>
      </c>
      <c r="B15" s="2" t="s">
        <v>55</v>
      </c>
      <c r="C15" s="3" t="s">
        <v>41</v>
      </c>
      <c r="D15" s="3">
        <v>1</v>
      </c>
      <c r="E15" s="3"/>
    </row>
    <row r="16" spans="1:5" ht="15.75" x14ac:dyDescent="0.25">
      <c r="A16" s="3">
        <v>14</v>
      </c>
      <c r="B16" s="2" t="s">
        <v>123</v>
      </c>
      <c r="C16" s="3" t="s">
        <v>41</v>
      </c>
      <c r="D16" s="3">
        <v>6</v>
      </c>
      <c r="E16" s="3"/>
    </row>
    <row r="17" spans="1:5" ht="15.75" x14ac:dyDescent="0.25">
      <c r="A17" s="3">
        <v>15</v>
      </c>
      <c r="B17" s="2" t="s">
        <v>56</v>
      </c>
      <c r="C17" s="3" t="s">
        <v>41</v>
      </c>
      <c r="D17" s="3">
        <v>9</v>
      </c>
      <c r="E17" s="3"/>
    </row>
    <row r="18" spans="1:5" ht="15.75" x14ac:dyDescent="0.25">
      <c r="A18" s="34" t="s">
        <v>0</v>
      </c>
      <c r="B18" s="51" t="s">
        <v>57</v>
      </c>
      <c r="C18" s="52"/>
      <c r="D18" s="52"/>
      <c r="E18" s="53"/>
    </row>
    <row r="19" spans="1:5" ht="15.75" x14ac:dyDescent="0.25">
      <c r="A19" s="3">
        <v>15</v>
      </c>
      <c r="B19" s="35" t="s">
        <v>58</v>
      </c>
      <c r="C19" s="3" t="s">
        <v>41</v>
      </c>
      <c r="D19" s="3">
        <v>10</v>
      </c>
      <c r="E19" s="14"/>
    </row>
    <row r="20" spans="1:5" ht="15.75" x14ac:dyDescent="0.25">
      <c r="A20" s="3">
        <v>16</v>
      </c>
      <c r="B20" s="35" t="s">
        <v>59</v>
      </c>
      <c r="C20" s="3" t="s">
        <v>41</v>
      </c>
      <c r="D20" s="3">
        <v>1</v>
      </c>
      <c r="E20" s="14"/>
    </row>
    <row r="21" spans="1:5" ht="15.75" x14ac:dyDescent="0.25">
      <c r="A21" s="3">
        <v>17</v>
      </c>
      <c r="B21" s="35" t="s">
        <v>60</v>
      </c>
      <c r="C21" s="3" t="s">
        <v>41</v>
      </c>
      <c r="D21" s="3">
        <v>1</v>
      </c>
      <c r="E21" s="14"/>
    </row>
    <row r="22" spans="1:5" ht="15.75" x14ac:dyDescent="0.25">
      <c r="A22" s="3">
        <v>18</v>
      </c>
      <c r="B22" s="35" t="s">
        <v>61</v>
      </c>
      <c r="C22" s="3" t="s">
        <v>41</v>
      </c>
      <c r="D22" s="3">
        <v>2</v>
      </c>
      <c r="E22" s="14"/>
    </row>
    <row r="23" spans="1:5" ht="15.75" x14ac:dyDescent="0.25">
      <c r="A23" s="3">
        <v>19</v>
      </c>
      <c r="B23" s="35" t="s">
        <v>62</v>
      </c>
      <c r="C23" s="3" t="s">
        <v>41</v>
      </c>
      <c r="D23" s="3">
        <v>1</v>
      </c>
      <c r="E23" s="14"/>
    </row>
    <row r="24" spans="1:5" ht="15.75" x14ac:dyDescent="0.25">
      <c r="A24" s="3">
        <v>20</v>
      </c>
      <c r="B24" s="36" t="s">
        <v>63</v>
      </c>
      <c r="C24" s="3" t="s">
        <v>41</v>
      </c>
      <c r="D24" s="3">
        <v>1</v>
      </c>
      <c r="E24" s="14"/>
    </row>
    <row r="25" spans="1:5" ht="15.75" x14ac:dyDescent="0.25">
      <c r="A25" s="3">
        <v>21</v>
      </c>
      <c r="B25" s="35" t="s">
        <v>64</v>
      </c>
      <c r="C25" s="3" t="s">
        <v>41</v>
      </c>
      <c r="D25" s="3">
        <v>5</v>
      </c>
      <c r="E25" s="14"/>
    </row>
    <row r="26" spans="1:5" ht="15.75" x14ac:dyDescent="0.25">
      <c r="A26" s="3">
        <v>22</v>
      </c>
      <c r="B26" s="35" t="s">
        <v>65</v>
      </c>
      <c r="C26" s="3" t="s">
        <v>41</v>
      </c>
      <c r="D26" s="3">
        <v>2</v>
      </c>
      <c r="E26" s="3"/>
    </row>
    <row r="27" spans="1:5" ht="15.75" x14ac:dyDescent="0.25">
      <c r="A27" s="3">
        <v>23</v>
      </c>
      <c r="B27" s="35" t="s">
        <v>66</v>
      </c>
      <c r="C27" s="3" t="s">
        <v>41</v>
      </c>
      <c r="D27" s="3">
        <v>2</v>
      </c>
      <c r="E27" s="3"/>
    </row>
    <row r="28" spans="1:5" ht="15.75" x14ac:dyDescent="0.25">
      <c r="A28" s="3">
        <v>24</v>
      </c>
      <c r="B28" s="35" t="s">
        <v>89</v>
      </c>
      <c r="C28" s="3" t="s">
        <v>41</v>
      </c>
      <c r="D28" s="3">
        <v>2</v>
      </c>
      <c r="E28" s="3"/>
    </row>
    <row r="29" spans="1:5" ht="15.75" x14ac:dyDescent="0.25">
      <c r="A29" s="3">
        <v>25</v>
      </c>
      <c r="B29" s="35" t="s">
        <v>67</v>
      </c>
      <c r="C29" s="3" t="s">
        <v>41</v>
      </c>
      <c r="D29" s="3">
        <v>4</v>
      </c>
      <c r="E29" s="3"/>
    </row>
    <row r="30" spans="1:5" ht="15.75" x14ac:dyDescent="0.25">
      <c r="A30" s="3">
        <v>26</v>
      </c>
      <c r="B30" s="35" t="s">
        <v>69</v>
      </c>
      <c r="C30" s="3" t="s">
        <v>70</v>
      </c>
      <c r="D30" s="3">
        <v>3</v>
      </c>
      <c r="E30" s="3"/>
    </row>
    <row r="31" spans="1:5" ht="15.75" x14ac:dyDescent="0.25">
      <c r="A31" s="34" t="s">
        <v>0</v>
      </c>
      <c r="B31" s="51" t="s">
        <v>74</v>
      </c>
      <c r="C31" s="52"/>
      <c r="D31" s="52"/>
      <c r="E31" s="53"/>
    </row>
    <row r="32" spans="1:5" ht="15.75" x14ac:dyDescent="0.25">
      <c r="A32" s="3">
        <v>27</v>
      </c>
      <c r="B32" s="35" t="s">
        <v>71</v>
      </c>
      <c r="C32" s="3" t="s">
        <v>41</v>
      </c>
      <c r="D32" s="3">
        <v>9</v>
      </c>
      <c r="E32" s="3"/>
    </row>
    <row r="33" spans="1:5" ht="15.75" x14ac:dyDescent="0.25">
      <c r="A33" s="38">
        <v>28</v>
      </c>
      <c r="B33" s="35" t="s">
        <v>72</v>
      </c>
      <c r="C33" s="3" t="s">
        <v>41</v>
      </c>
      <c r="D33" s="3">
        <v>4</v>
      </c>
      <c r="E33" s="3"/>
    </row>
    <row r="34" spans="1:5" ht="15.75" x14ac:dyDescent="0.25">
      <c r="A34" s="3">
        <v>29</v>
      </c>
      <c r="B34" s="35" t="s">
        <v>73</v>
      </c>
      <c r="C34" s="3" t="s">
        <v>41</v>
      </c>
      <c r="D34" s="3">
        <v>3</v>
      </c>
      <c r="E34" s="3"/>
    </row>
    <row r="35" spans="1:5" ht="15.75" x14ac:dyDescent="0.25">
      <c r="A35" s="38">
        <v>30</v>
      </c>
      <c r="B35" s="35" t="s">
        <v>87</v>
      </c>
      <c r="C35" s="3" t="s">
        <v>41</v>
      </c>
      <c r="D35" s="3">
        <v>5</v>
      </c>
      <c r="E35" s="3"/>
    </row>
    <row r="36" spans="1:5" ht="15.75" x14ac:dyDescent="0.25">
      <c r="A36" s="3">
        <v>31</v>
      </c>
      <c r="B36" s="35" t="s">
        <v>86</v>
      </c>
      <c r="C36" s="3" t="s">
        <v>41</v>
      </c>
      <c r="D36" s="3">
        <v>6</v>
      </c>
      <c r="E36" s="3"/>
    </row>
    <row r="37" spans="1:5" ht="15.75" x14ac:dyDescent="0.25">
      <c r="A37" s="38">
        <v>32</v>
      </c>
      <c r="B37" s="35" t="s">
        <v>106</v>
      </c>
      <c r="C37" s="3" t="s">
        <v>41</v>
      </c>
      <c r="D37" s="3">
        <v>9</v>
      </c>
      <c r="E37" s="3"/>
    </row>
    <row r="38" spans="1:5" ht="15.75" x14ac:dyDescent="0.25">
      <c r="A38" s="3">
        <v>33</v>
      </c>
      <c r="B38" s="35" t="s">
        <v>80</v>
      </c>
      <c r="C38" s="3" t="s">
        <v>41</v>
      </c>
      <c r="D38" s="3">
        <v>2</v>
      </c>
      <c r="E38" s="3"/>
    </row>
    <row r="39" spans="1:5" ht="15.75" x14ac:dyDescent="0.25">
      <c r="A39" s="38">
        <v>34</v>
      </c>
      <c r="B39" s="35" t="s">
        <v>79</v>
      </c>
      <c r="C39" s="3" t="s">
        <v>41</v>
      </c>
      <c r="D39" s="3">
        <v>16</v>
      </c>
      <c r="E39" s="3"/>
    </row>
    <row r="40" spans="1:5" ht="15.75" x14ac:dyDescent="0.25">
      <c r="A40" s="3">
        <v>35</v>
      </c>
      <c r="B40" s="35" t="s">
        <v>75</v>
      </c>
      <c r="C40" s="3" t="s">
        <v>41</v>
      </c>
      <c r="D40" s="3">
        <v>1</v>
      </c>
      <c r="E40" s="3"/>
    </row>
    <row r="41" spans="1:5" ht="15.75" x14ac:dyDescent="0.25">
      <c r="A41" s="38">
        <v>36</v>
      </c>
      <c r="B41" s="35" t="s">
        <v>76</v>
      </c>
      <c r="C41" s="3" t="s">
        <v>41</v>
      </c>
      <c r="D41" s="3">
        <v>1</v>
      </c>
      <c r="E41" s="3"/>
    </row>
    <row r="42" spans="1:5" ht="15.75" x14ac:dyDescent="0.25">
      <c r="A42" s="3">
        <v>37</v>
      </c>
      <c r="B42" s="35" t="s">
        <v>77</v>
      </c>
      <c r="C42" s="3" t="s">
        <v>41</v>
      </c>
      <c r="D42" s="3">
        <v>1</v>
      </c>
      <c r="E42" s="3"/>
    </row>
    <row r="43" spans="1:5" ht="15.75" x14ac:dyDescent="0.25">
      <c r="A43" s="38">
        <v>38</v>
      </c>
      <c r="B43" s="35" t="s">
        <v>78</v>
      </c>
      <c r="C43" s="3" t="s">
        <v>41</v>
      </c>
      <c r="D43" s="3">
        <v>1</v>
      </c>
      <c r="E43" s="3"/>
    </row>
    <row r="44" spans="1:5" ht="15.75" x14ac:dyDescent="0.25">
      <c r="A44" s="3">
        <v>39</v>
      </c>
      <c r="B44" s="35" t="s">
        <v>82</v>
      </c>
      <c r="C44" s="3" t="s">
        <v>41</v>
      </c>
      <c r="D44" s="3">
        <v>1</v>
      </c>
      <c r="E44" s="3"/>
    </row>
    <row r="45" spans="1:5" ht="15.75" x14ac:dyDescent="0.25">
      <c r="A45" s="38">
        <v>40</v>
      </c>
      <c r="B45" s="35" t="s">
        <v>84</v>
      </c>
      <c r="C45" s="3" t="s">
        <v>41</v>
      </c>
      <c r="D45" s="3">
        <v>8</v>
      </c>
      <c r="E45" s="3"/>
    </row>
    <row r="46" spans="1:5" ht="15.75" x14ac:dyDescent="0.25">
      <c r="A46" s="3">
        <v>41</v>
      </c>
      <c r="B46" s="35" t="s">
        <v>85</v>
      </c>
      <c r="C46" s="3" t="s">
        <v>41</v>
      </c>
      <c r="D46" s="3">
        <v>1</v>
      </c>
      <c r="E46" s="3"/>
    </row>
    <row r="47" spans="1:5" ht="15.75" x14ac:dyDescent="0.25">
      <c r="A47" s="38">
        <v>42</v>
      </c>
      <c r="B47" s="35" t="s">
        <v>107</v>
      </c>
      <c r="C47" s="3" t="s">
        <v>41</v>
      </c>
      <c r="D47" s="3">
        <v>1</v>
      </c>
      <c r="E47" s="3"/>
    </row>
    <row r="48" spans="1:5" ht="18.75" x14ac:dyDescent="0.3">
      <c r="C48" s="22" t="s">
        <v>33</v>
      </c>
      <c r="D48" s="23">
        <f>SUM(D2:D47)</f>
        <v>367</v>
      </c>
    </row>
    <row r="50" spans="1:5" ht="24" customHeight="1" x14ac:dyDescent="0.25">
      <c r="A50" s="39" t="s">
        <v>0</v>
      </c>
      <c r="B50" s="54" t="s">
        <v>83</v>
      </c>
      <c r="C50" s="55"/>
      <c r="D50" s="55"/>
      <c r="E50" s="56"/>
    </row>
    <row r="51" spans="1:5" ht="15.75" x14ac:dyDescent="0.25">
      <c r="A51" s="3">
        <v>1</v>
      </c>
      <c r="B51" s="35" t="s">
        <v>88</v>
      </c>
      <c r="C51" s="3" t="s">
        <v>41</v>
      </c>
      <c r="D51" s="3">
        <v>1</v>
      </c>
      <c r="E51" s="3"/>
    </row>
    <row r="52" spans="1:5" ht="15.75" x14ac:dyDescent="0.25">
      <c r="A52" s="3">
        <v>2</v>
      </c>
      <c r="B52" s="35" t="s">
        <v>90</v>
      </c>
      <c r="C52" s="3" t="s">
        <v>41</v>
      </c>
      <c r="D52" s="3">
        <v>6</v>
      </c>
      <c r="E52" s="3"/>
    </row>
    <row r="53" spans="1:5" ht="15.75" x14ac:dyDescent="0.25">
      <c r="A53" s="3">
        <v>3</v>
      </c>
      <c r="B53" s="35" t="s">
        <v>91</v>
      </c>
      <c r="C53" s="3" t="s">
        <v>41</v>
      </c>
      <c r="D53" s="3">
        <v>29</v>
      </c>
      <c r="E53" s="3"/>
    </row>
    <row r="54" spans="1:5" ht="15.75" x14ac:dyDescent="0.25">
      <c r="A54" s="3">
        <v>4</v>
      </c>
      <c r="B54" s="35" t="s">
        <v>81</v>
      </c>
      <c r="C54" s="3" t="s">
        <v>41</v>
      </c>
      <c r="D54" s="3">
        <v>1</v>
      </c>
      <c r="E54" s="3"/>
    </row>
    <row r="55" spans="1:5" ht="18.75" x14ac:dyDescent="0.3">
      <c r="C55" s="22" t="s">
        <v>33</v>
      </c>
      <c r="D55" s="23">
        <f>+D51+D52+D53+D54</f>
        <v>37</v>
      </c>
    </row>
  </sheetData>
  <mergeCells count="3">
    <mergeCell ref="B18:E18"/>
    <mergeCell ref="B31:E31"/>
    <mergeCell ref="B50:E5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BB2D-0EF8-485E-BDD0-D48B699613C3}">
  <dimension ref="A1:E4"/>
  <sheetViews>
    <sheetView workbookViewId="0">
      <selection activeCell="C9" sqref="C9"/>
    </sheetView>
  </sheetViews>
  <sheetFormatPr baseColWidth="10" defaultRowHeight="15" x14ac:dyDescent="0.25"/>
  <cols>
    <col min="1" max="1" width="4.28515625" customWidth="1"/>
    <col min="2" max="2" width="40.5703125" customWidth="1"/>
    <col min="3" max="3" width="27" customWidth="1"/>
    <col min="4" max="4" width="21.85546875" customWidth="1"/>
  </cols>
  <sheetData>
    <row r="1" spans="1:5" ht="56.25" x14ac:dyDescent="0.3">
      <c r="A1" s="30" t="s">
        <v>0</v>
      </c>
      <c r="B1" s="30" t="s">
        <v>3</v>
      </c>
      <c r="C1" s="33" t="s">
        <v>40</v>
      </c>
      <c r="D1" s="32" t="s">
        <v>1</v>
      </c>
      <c r="E1" s="31" t="s">
        <v>2</v>
      </c>
    </row>
    <row r="2" spans="1:5" ht="15.75" x14ac:dyDescent="0.25">
      <c r="A2" s="3">
        <v>1</v>
      </c>
      <c r="B2" s="2" t="s">
        <v>113</v>
      </c>
      <c r="C2" s="3" t="s">
        <v>41</v>
      </c>
      <c r="D2" s="3">
        <v>2</v>
      </c>
      <c r="E2" s="3"/>
    </row>
    <row r="3" spans="1:5" ht="15.75" x14ac:dyDescent="0.25">
      <c r="A3" s="3">
        <v>2</v>
      </c>
      <c r="B3" s="2" t="s">
        <v>114</v>
      </c>
      <c r="C3" s="3" t="s">
        <v>41</v>
      </c>
      <c r="D3" s="3">
        <v>1</v>
      </c>
      <c r="E3" s="3"/>
    </row>
    <row r="4" spans="1:5" ht="15.75" x14ac:dyDescent="0.25">
      <c r="A4" s="3">
        <v>3</v>
      </c>
      <c r="B4" s="2" t="s">
        <v>115</v>
      </c>
      <c r="C4" s="3" t="s">
        <v>41</v>
      </c>
      <c r="D4" s="3">
        <v>1</v>
      </c>
      <c r="E4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0116-E1D4-4E85-81D4-55B2E931771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PANTALON Y CAMISA AZUL M-C</vt:lpstr>
      <vt:lpstr>UNI AZUL CON LINEA ROJA M-C</vt:lpstr>
      <vt:lpstr>UNIFORME BLANCO GALA SIN REFLEC</vt:lpstr>
      <vt:lpstr>UNIFORME BLANCO CON REFLECTIVO</vt:lpstr>
      <vt:lpstr>CSMISAS PARA PERSONAL ADMINISTR</vt:lpstr>
      <vt:lpstr>OTROS UNIFO DE SUPERVISOR</vt:lpstr>
      <vt:lpstr>CHALECOS VARIOS</vt:lpstr>
      <vt:lpstr>BOTAS</vt:lpstr>
      <vt:lpstr>GORRAS, CASCO Y VARIOS</vt:lpstr>
      <vt:lpstr>VARIOS</vt:lpstr>
      <vt:lpstr>INGRESO DE EQUIPO NUEVO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 MERCADEO</dc:creator>
  <cp:lastModifiedBy>ISP MERCADEO</cp:lastModifiedBy>
  <dcterms:created xsi:type="dcterms:W3CDTF">2026-03-20T15:26:38Z</dcterms:created>
  <dcterms:modified xsi:type="dcterms:W3CDTF">2026-04-07T19:13:17Z</dcterms:modified>
</cp:coreProperties>
</file>